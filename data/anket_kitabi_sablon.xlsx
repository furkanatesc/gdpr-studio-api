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isilayyoruk/Library/Application Support/Claude/local-agent-mode-sessions/5c18619b-c01f-40a9-8177-bd8acef5be64/a42dd153-1a01-488d-8e24-27685a6db15d/local_8372a268-6f78-4095-99e6-df9a5afccbcc/outputs/"/>
    </mc:Choice>
  </mc:AlternateContent>
  <xr:revisionPtr revIDLastSave="0" documentId="13_ncr:1_{92335C34-2A7A-0D46-8348-091799F38F15}" xr6:coauthVersionLast="47" xr6:coauthVersionMax="47" xr10:uidLastSave="{00000000-0000-0000-0000-000000000000}"/>
  <bookViews>
    <workbookView xWindow="0" yWindow="600" windowWidth="28800" windowHeight="16120" tabRatio="500" activeTab="2" xr2:uid="{00000000-000D-0000-FFFF-FFFF00000000}"/>
  </bookViews>
  <sheets>
    <sheet name="README" sheetId="1" r:id="rId1"/>
    <sheet name="00-Dashboard" sheetId="2" r:id="rId2"/>
    <sheet name="01-Genel-Sirket" sheetId="3" r:id="rId3"/>
    <sheet name="02-İnsan Kaynakları" sheetId="4" r:id="rId4"/>
    <sheet name="03-Bilgi Teknolojileri" sheetId="5" r:id="rId5"/>
    <sheet name="04-Yazılım Geliştirme" sheetId="6" r:id="rId6"/>
    <sheet name="05-Satış" sheetId="7" r:id="rId7"/>
    <sheet name="06-Pazarlama" sheetId="8" r:id="rId8"/>
    <sheet name="07-Sosyal Medya" sheetId="9" r:id="rId9"/>
    <sheet name="08-Muhasebe" sheetId="10" r:id="rId10"/>
    <sheet name="09-Satın Alma" sheetId="11" r:id="rId11"/>
    <sheet name="10-Hukuk" sheetId="12" r:id="rId12"/>
    <sheet name="11-Yönetim" sheetId="13" r:id="rId13"/>
    <sheet name="12-Güvenlik" sheetId="14" r:id="rId14"/>
    <sheet name="13-Temizlik" sheetId="15" r:id="rId15"/>
    <sheet name="14-Entegrasyonlar" sheetId="16" r:id="rId16"/>
    <sheet name="15-Kanıt Belgeleri" sheetId="17" r:id="rId17"/>
    <sheet name="Sayfa1" sheetId="19" r:id="rId18"/>
    <sheet name="Listeler" sheetId="18" state="hidden" r:id="rId19"/>
  </sheets>
  <definedNames>
    <definedName name="_xlnm._FilterDatabase" localSheetId="2" hidden="1">'01-Genel-Sirket'!$A$2:$R$47</definedName>
    <definedName name="_xlnm._FilterDatabase" localSheetId="3" hidden="1">'02-İnsan Kaynakları'!$A$2:$R$108</definedName>
    <definedName name="_xlnm._FilterDatabase" localSheetId="4" hidden="1">'03-Bilgi Teknolojileri'!$A$2:$R$162</definedName>
    <definedName name="_xlnm._FilterDatabase" localSheetId="5" hidden="1">'04-Yazılım Geliştirme'!$A$2:$R$75</definedName>
    <definedName name="_xlnm._FilterDatabase" localSheetId="6" hidden="1">'05-Satış'!$A$2:$R$57</definedName>
    <definedName name="_xlnm._FilterDatabase" localSheetId="7" hidden="1">'06-Pazarlama'!$A$2:$R$67</definedName>
    <definedName name="_xlnm._FilterDatabase" localSheetId="8" hidden="1">'07-Sosyal Medya'!$A$2:$R$42</definedName>
    <definedName name="_xlnm._FilterDatabase" localSheetId="9" hidden="1">'08-Muhasebe'!$A$2:$R$50</definedName>
    <definedName name="_xlnm._FilterDatabase" localSheetId="10" hidden="1">'09-Satın Alma'!$A$2:$R$42</definedName>
    <definedName name="_xlnm._FilterDatabase" localSheetId="11" hidden="1">'10-Hukuk'!$A$2:$R$42</definedName>
    <definedName name="_xlnm._FilterDatabase" localSheetId="12" hidden="1">'11-Yönetim'!$A$2:$R$37</definedName>
    <definedName name="_xlnm._FilterDatabase" localSheetId="13" hidden="1">'12-Güvenlik'!$A$2:$R$42</definedName>
    <definedName name="_xlnm._FilterDatabase" localSheetId="14" hidden="1">'13-Temizlik'!$A$2:$R$27</definedName>
    <definedName name="_xlnm._FilterDatabase" localSheetId="15" hidden="1">'14-Entegrasyonlar'!$A$2:$N$59</definedName>
    <definedName name="_xlnm._FilterDatabase" localSheetId="16" hidden="1">'15-Kanıt Belgeleri'!$A$2:$I$77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7" i="2" l="1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F19" i="2"/>
  <c r="E19" i="2"/>
  <c r="D19" i="2"/>
  <c r="C19" i="2"/>
  <c r="H19" i="2" s="1"/>
  <c r="B19" i="2"/>
  <c r="F18" i="2"/>
  <c r="D18" i="2"/>
  <c r="C18" i="2"/>
  <c r="H18" i="2" s="1"/>
  <c r="F17" i="2"/>
  <c r="H17" i="2" s="1"/>
  <c r="E17" i="2"/>
  <c r="D17" i="2"/>
  <c r="C17" i="2"/>
  <c r="F16" i="2"/>
  <c r="H16" i="2" s="1"/>
  <c r="E16" i="2"/>
  <c r="D16" i="2"/>
  <c r="G16" i="2" s="1"/>
  <c r="C16" i="2"/>
  <c r="F15" i="2"/>
  <c r="E15" i="2"/>
  <c r="D15" i="2"/>
  <c r="C15" i="2"/>
  <c r="H15" i="2" s="1"/>
  <c r="H14" i="2"/>
  <c r="F14" i="2"/>
  <c r="E14" i="2"/>
  <c r="D14" i="2"/>
  <c r="C14" i="2"/>
  <c r="G14" i="2" s="1"/>
  <c r="F13" i="2"/>
  <c r="H13" i="2" s="1"/>
  <c r="E13" i="2"/>
  <c r="D13" i="2"/>
  <c r="C13" i="2"/>
  <c r="F12" i="2"/>
  <c r="H12" i="2" s="1"/>
  <c r="E12" i="2"/>
  <c r="D12" i="2"/>
  <c r="G12" i="2" s="1"/>
  <c r="C12" i="2"/>
  <c r="F11" i="2"/>
  <c r="E11" i="2"/>
  <c r="D11" i="2"/>
  <c r="C11" i="2"/>
  <c r="H11" i="2" s="1"/>
  <c r="H10" i="2"/>
  <c r="F10" i="2"/>
  <c r="E10" i="2"/>
  <c r="D10" i="2"/>
  <c r="C10" i="2"/>
  <c r="G10" i="2" s="1"/>
  <c r="F9" i="2"/>
  <c r="H9" i="2" s="1"/>
  <c r="E9" i="2"/>
  <c r="D9" i="2"/>
  <c r="C9" i="2"/>
  <c r="F8" i="2"/>
  <c r="H8" i="2" s="1"/>
  <c r="E8" i="2"/>
  <c r="D8" i="2"/>
  <c r="G8" i="2" s="1"/>
  <c r="C8" i="2"/>
  <c r="F7" i="2"/>
  <c r="E7" i="2"/>
  <c r="D7" i="2"/>
  <c r="C7" i="2"/>
  <c r="H7" i="2" s="1"/>
  <c r="H6" i="2"/>
  <c r="F6" i="2"/>
  <c r="E6" i="2"/>
  <c r="D6" i="2"/>
  <c r="C6" i="2"/>
  <c r="G6" i="2" s="1"/>
  <c r="F5" i="2"/>
  <c r="H5" i="2" s="1"/>
  <c r="E5" i="2"/>
  <c r="D5" i="2"/>
  <c r="C5" i="2"/>
  <c r="F4" i="2"/>
  <c r="H4" i="2" s="1"/>
  <c r="E4" i="2"/>
  <c r="D4" i="2"/>
  <c r="G4" i="2" s="1"/>
  <c r="C4" i="2"/>
  <c r="G5" i="2" l="1"/>
  <c r="G19" i="2" s="1"/>
  <c r="G9" i="2"/>
  <c r="G13" i="2"/>
  <c r="G17" i="2"/>
  <c r="G7" i="2"/>
  <c r="G15" i="2"/>
  <c r="G18" i="2"/>
  <c r="G11" i="2"/>
</calcChain>
</file>

<file path=xl/sharedStrings.xml><?xml version="1.0" encoding="utf-8"?>
<sst xmlns="http://schemas.openxmlformats.org/spreadsheetml/2006/main" count="3252" uniqueCount="1278">
  <si>
    <t>KVKK / GDPR VERİ TOPLAMA ÇALIŞMA KİTABI</t>
  </si>
  <si>
    <t>Privacy Due Diligence Kit — Departman Veri Toplama Formu</t>
  </si>
  <si>
    <t>BU DOSYA NEDİR?</t>
  </si>
  <si>
    <t>Bu çalışma kitabı, şirketinizin kişisel veri işleme faaliyetlerinin tespiti için hazırlanmıştır.</t>
  </si>
  <si>
    <t>Vereceğiniz cevaplar; KVKK veri envanteri, VERBİS kaydı, GDPR RoPA, aydınlatma metinleri,</t>
  </si>
  <si>
    <t>sözleşmeler ve politika setlerinin hazırlanmasında kullanılacaktır.</t>
  </si>
  <si>
    <t>KİM DOLDURACAK?</t>
  </si>
  <si>
    <t>Her sekme, adındaki departmanın yöneticisi/sorumlusu tarafından doldurulur.</t>
  </si>
  <si>
    <t>'01-Genel' sekmesini şirket yönetimi doldurur. '14-Entegrasyonlar' sekmesini BT koordine eder.</t>
  </si>
  <si>
    <t>'15-Kanıt Belgeleri' sekmesi tüm departmanların yükleyeceği belgelerin kontrol listesidir.</t>
  </si>
  <si>
    <t>NASIL DOLDURULACAK? — 10 ALTIN KURAL</t>
  </si>
  <si>
    <t>1. Her satırdaki soruyu okuyun; 'Cevap/Açıklama' sütununa serbest metinle yanıt yazın.</t>
  </si>
  <si>
    <t>2. Açılır listeli hücrelerde (İlgili Kişi Grubu, Hukuki Sebep vb.) listeden seçim yapın.</t>
  </si>
  <si>
    <t>3. Bilmediğiniz sorulara TAHMİN YAZMAYIN — 'Durum' sütununda 'Bilinmiyor' seçin ve boş bırakın.</t>
  </si>
  <si>
    <t>4. Sorunun departmanınızla ilgisi yoksa 'Durum' sütununda 'Uygulanamaz' seçin.</t>
  </si>
  <si>
    <t>5. Her satırı bitirdiğinizde 'Durum' sütununu 'Dolduruldu' yapın. Dashboard buradan beslenir.</t>
  </si>
  <si>
    <t>6. Turuncu 'Zorunlu' işaretli satırlar mutlaka cevaplanmalıdır; gri 'Opsiyonel' satırlar atlanabilir.</t>
  </si>
  <si>
    <t>7. Mümkün olan her cevap için kanıt belgesi ekleyin: 'Kanıt Belgesi' sütununda 'Eklenecek' seçin,</t>
  </si>
  <si>
    <t xml:space="preserve">   belgeyi ayrı klasöre 'SekmeNo_SatırNo_BelgeAdı' formatında kaydedin (örn. 03_015_FirewallDiyagrami.pdf).</t>
  </si>
  <si>
    <t>8. Kanıt belgeleri için ortak klasör: [BURAYA PAYLAŞIM LİNKİ EKLENECEK]</t>
  </si>
  <si>
    <t>9. Hukuki Sebep sütununda emin değilseniz 'Belirlenmedi / Bilinmiyor' seçin — nitelendirmeyi avukatlar yapacaktır.</t>
  </si>
  <si>
    <t>10. Sorularınız için: [DANIŞMAN AD-SOYAD / E-POSTA / TELEFON]</t>
  </si>
  <si>
    <t>SON TESLİM TARİHİ</t>
  </si>
  <si>
    <t>[GG.AA.YYYY] — Süre uzatım talepleri için danışmanla iletişime geçin.</t>
  </si>
  <si>
    <t>GİZLİLİK NOTU</t>
  </si>
  <si>
    <t>Bu dosya gizli bilgi içerir. Yalnızca görevlendirilen kişilerle paylaşın, kopyalamayın,</t>
  </si>
  <si>
    <t>şirket dışına e-posta ile göndermeyin. Dosya avukat-müvekkil gizliliği kapsamındadır.</t>
  </si>
  <si>
    <t>SEKME REHBERİ</t>
  </si>
  <si>
    <t>00-Dashboard: Doldurma ilerlemesi ve risk özetleri (otomatik hesaplanır, elle veri girmeyin).</t>
  </si>
  <si>
    <t>01-Genel: Şirket kimliği, grup yapısı, roller, sistem manzarası — Yönetim doldurur.</t>
  </si>
  <si>
    <t>02-İnsan Kaynakları: İşe alımdan işten ayrılışa tüm çalışan verisi süreçleri.</t>
  </si>
  <si>
    <t>03-Bilgi Teknolojileri: Altyapı, bulut, erişim, log, yedekleme, AI araçları.</t>
  </si>
  <si>
    <t>04-Yazılım Geliştirme: Kod, test verisi, ortamlar, API, AI kod asistanları.</t>
  </si>
  <si>
    <t>05-Satış: CRM, lead, teklif, demo, etkinlik, telefon/web kanalları.</t>
  </si>
  <si>
    <t>06-Pazarlama: Analitik, çerez, piksel, e-posta/SMS, pazarlama araçları.</t>
  </si>
  <si>
    <t>07-Sosyal Medya: Hesaplar, görseller, çalışan fotoğrafları, ajanslar.</t>
  </si>
  <si>
    <t>08-Muhasebe: Fatura, banka, bordro entegrasyonu, cari, arşiv.</t>
  </si>
  <si>
    <t>09-Satın Alma: Tedarikçi yönetimi, DPA/NDA, veri paylaşımı, kargo.</t>
  </si>
  <si>
    <t>10-Hukuk: Sözleşme yönetimi, dava, arabuluculuk, mevcut KVKK süreçleri.</t>
  </si>
  <si>
    <t>11-Yönetim: YK, ortaklar, yatırımcı/DD, grup içi paylaşım.</t>
  </si>
  <si>
    <t>12-Güvenlik: Kamera, kartlı geçiş, ziyaretçi, güvenlik firması.</t>
  </si>
  <si>
    <t>13-Temizlik: Destek hizmetleri, erişim alanları, arşiv/sunucu odası.</t>
  </si>
  <si>
    <t>14-Entegrasyonlar: Şirkette kullanılan TÜM sistem ve servislerin envanteri.</t>
  </si>
  <si>
    <t>15-Kanıt Belgeleri: Yüklenecek belgelerin kontrol listesi.</t>
  </si>
  <si>
    <t>SÜTUN AÇIKLAMALARI (Departman sekmeleri)</t>
  </si>
  <si>
    <t>İşlenen Kişisel Veri: Bu süreçte hangi veriler işleniyor? (örn. ad-soyad, T.C. no, IBAN, fotoğraf)</t>
  </si>
  <si>
    <t>İlgili Kişi Grubu: Verisi işlenen kişi kimdir? Listeden seçin.</t>
  </si>
  <si>
    <t>Veri Kaynağı: Veri nereden geliyor? Listeden seçin.</t>
  </si>
  <si>
    <t>Kullanılan Sistem: Verinin işlendiği yazılım/ortam (örn. Logo, CRM, klasör, dolap).</t>
  </si>
  <si>
    <t>Veri Alıcısı: Veri kimlerle paylaşılıyor? (örn. SGK, banka, ajans, grup şirketi)</t>
  </si>
  <si>
    <t>Yurtdışı Aktarım: Veri yurt dışına çıkıyor mu? Bulut sistemlerde 'Muhtemel (bulut)' seçin.</t>
  </si>
  <si>
    <t>Hukuki Sebep: KVKK dayanağı (GDPR karşılığı parantezde). Emin değilseniz 'Belirlenmedi / Bilinmiyor'.</t>
  </si>
  <si>
    <t>Saklama Süresi: Veri ne kadar tutuluyor? Biliyorsanız dayanağıyla yazın (örn. 'işten ayrılış + 10 yıl').</t>
  </si>
  <si>
    <t>Mevcut Doküman: Bu süreci düzenleyen yazılı politika/prosedür var mı?</t>
  </si>
  <si>
    <t>Kanıt Belgesi: Cevabı destekleyen belge eklenecek mi? Durumunu seçin.</t>
  </si>
  <si>
    <t>Risk/Not: Eklemek istediğiniz açıklama, endişe veya istisna.</t>
  </si>
  <si>
    <t>Sorumlu: Bu satırı cevaplayan kişinin adı.</t>
  </si>
  <si>
    <t>Durum: Satırın doldurulma durumu — Dashboard'un veri kaynağıdır, mutlaka seçin.</t>
  </si>
  <si>
    <t>00-Dashboard — Doldurma İlerlemesi ve Risk Özeti (otomatik hesaplanır)</t>
  </si>
  <si>
    <t>Sekme</t>
  </si>
  <si>
    <t>Toplam Satır</t>
  </si>
  <si>
    <t>Dolduruldu</t>
  </si>
  <si>
    <t>Kısmen</t>
  </si>
  <si>
    <t>Bilinmiyor</t>
  </si>
  <si>
    <t>Uygulanamaz</t>
  </si>
  <si>
    <t>Boş</t>
  </si>
  <si>
    <t>Tamamlanma %</t>
  </si>
  <si>
    <t>01-Genel-Sirket</t>
  </si>
  <si>
    <t>02-İnsan Kaynakları</t>
  </si>
  <si>
    <t>03-Bilgi Teknolojileri</t>
  </si>
  <si>
    <t>04-Yazılım Geliştirme</t>
  </si>
  <si>
    <t>05-Satış</t>
  </si>
  <si>
    <t>06-Pazarlama</t>
  </si>
  <si>
    <t>07-Sosyal Medya</t>
  </si>
  <si>
    <t>08-Muhasebe</t>
  </si>
  <si>
    <t>09-Satın Alma</t>
  </si>
  <si>
    <t>10-Hukuk</t>
  </si>
  <si>
    <t>11-Yönetim</t>
  </si>
  <si>
    <t>12-Güvenlik</t>
  </si>
  <si>
    <t>13-Temizlik</t>
  </si>
  <si>
    <t>14-Entegrasyonlar</t>
  </si>
  <si>
    <t>15-Kanıt Belgeleri (Eklendi)</t>
  </si>
  <si>
    <t>TOPLAM</t>
  </si>
  <si>
    <t>RİSK GÖSTERGELERİ</t>
  </si>
  <si>
    <t>Yurtdışı Aktarım 'Evet'</t>
  </si>
  <si>
    <t>Hukuki Sebep Belirsiz</t>
  </si>
  <si>
    <t>Doküman 'Yok'</t>
  </si>
  <si>
    <t>Kanıt 'Eklenecek'</t>
  </si>
  <si>
    <t>Not: 14-Entegrasyonlar satırında 'Hukuki Sebep Belirsiz' sütunu, Sözleşme/DPA 'Yok' sayısını gösterir.</t>
  </si>
  <si>
    <t>01-Genel-Sirket — Veri Toplama Formu</t>
  </si>
  <si>
    <t>No</t>
  </si>
  <si>
    <t>Bölüm</t>
  </si>
  <si>
    <t>Soru / Süreç</t>
  </si>
  <si>
    <t>Zorunlu?</t>
  </si>
  <si>
    <t>Cevap / Açıklama</t>
  </si>
  <si>
    <t>İşlenen Kişisel Veri</t>
  </si>
  <si>
    <t>İlgili Kişi Grubu</t>
  </si>
  <si>
    <t>Veri Kaynağı</t>
  </si>
  <si>
    <t>Kullanılan Sistem</t>
  </si>
  <si>
    <t>Veri Alıcısı</t>
  </si>
  <si>
    <t>Yurtdışı Aktarım</t>
  </si>
  <si>
    <t>Hukuki Sebep (KVKK → GDPR)</t>
  </si>
  <si>
    <t>Saklama Süresi</t>
  </si>
  <si>
    <t>Mevcut Doküman</t>
  </si>
  <si>
    <t>Kanıt Belgesi</t>
  </si>
  <si>
    <t>Risk / Not</t>
  </si>
  <si>
    <t>Sorumlu</t>
  </si>
  <si>
    <t>Durum</t>
  </si>
  <si>
    <t>Şirket Kimliği</t>
  </si>
  <si>
    <t>Şirketin tam ticari unvanı, MERSİS ve vergi numarası nedir?</t>
  </si>
  <si>
    <t>Zorunlu</t>
  </si>
  <si>
    <t>Ana faaliyet konusu ve NACE kodu nedir?</t>
  </si>
  <si>
    <t>Toplam çalışan sayısı kaçtır? (VERBİS eşiği için kritik)</t>
  </si>
  <si>
    <t>Yıllık mali bilanço toplamı hangi aralıktadır? (VERBİS eşiği için kritik)</t>
  </si>
  <si>
    <t>Şirketin kuruluş tarihi ve ticaret sicil bilgileri nedir?</t>
  </si>
  <si>
    <t>Şirketin web sitesi/alan adları nelerdir?</t>
  </si>
  <si>
    <t>Şirket hangi sektörel düzenlemelere tabidir? (BDDK, SPK, EPDK, Sağlık vb.)</t>
  </si>
  <si>
    <t>Yurt dışında müşterisi/kullanıcısı var mı? Hangi ülkelerde? (GDPR kapsamı için kritik)</t>
  </si>
  <si>
    <t>AB'de yerleşik kişilere mal/hizmet sunuluyor veya davranışları izleniyor mu? (GDPR m.3)</t>
  </si>
  <si>
    <t>Şirketin GDPR kapsamında AB temsilcisi (Art. 27) var mı?</t>
  </si>
  <si>
    <t>Opsiyonel</t>
  </si>
  <si>
    <t>Grup &amp; Ortaklık</t>
  </si>
  <si>
    <t>Grup şirketi yapısı var mı? Tüm grup şirketlerini listeleyin.</t>
  </si>
  <si>
    <t>Ortaklık yapısı nedir? Yabancı ortak var mı?</t>
  </si>
  <si>
    <t>Grup şirketleri arasında veri paylaşımı var mı? Hangi veriler?</t>
  </si>
  <si>
    <t>Grup içi hizmet paylaşımı (ortak İK, ortak IT, ortak muhasebe) var mı?</t>
  </si>
  <si>
    <t>Yurt dışında grup şirketi/iştirak var mı? Veri akışı var mı?</t>
  </si>
  <si>
    <t>Grup içi veri aktarımını düzenleyen sözleşme (intragroup agreement) var mı?</t>
  </si>
  <si>
    <t>Holding/ana şirket ortak sistem kullanımı dayatıyor mu? (ör. ortak ERP)</t>
  </si>
  <si>
    <t>Lokasyon &amp; Şube</t>
  </si>
  <si>
    <t>Merkez ofis adresi ve tüm şube/ofis lokasyonları nelerdir?</t>
  </si>
  <si>
    <t>Şubelerde ayrı veri işleme faaliyeti (yerel İK, yerel kamera vb.) var mı?</t>
  </si>
  <si>
    <t>Uzaktan/hibrit çalışma modeli var mı? Politikası mevcut mu?</t>
  </si>
  <si>
    <t>Fiziksel arşiv nerede tutuluyor? Dış arşiv firması kullanılıyor mu?</t>
  </si>
  <si>
    <t>Teknokent &amp; Teşvik</t>
  </si>
  <si>
    <t>Şirket teknokent/teknopark bünyesinde mi? Hangi teknokent?</t>
  </si>
  <si>
    <t>Ar-Ge/tasarım merkezi belgesi var mı? Personel bildirimleri kime yapılıyor?</t>
  </si>
  <si>
    <t>TÜBİTAK/KOSGEB projeleri kapsamında kişisel veri paylaşımı var mı?</t>
  </si>
  <si>
    <t>Teşvik başvurularında çalışan verisi hangi kurumlarla paylaşılıyor?</t>
  </si>
  <si>
    <t>Sertifika &amp; Standart</t>
  </si>
  <si>
    <t>ISO 27001 sertifikası var mı? Kapsamı ve geçerlilik tarihi nedir?</t>
  </si>
  <si>
    <t>ISO 9001, 22301, 27701 veya SOC 2 gibi diğer sertifikalar var mı?</t>
  </si>
  <si>
    <t>Bilgi güvenliği politikası dokümante edilmiş mi? Son güncelleme tarihi?</t>
  </si>
  <si>
    <t>Penetrasyon testi / sızma testi yaptırılıyor mu? Son test tarihi?</t>
  </si>
  <si>
    <t>Müşterilerden gelen güvenlik denetimi (vendor audit) talepleri oluyor mu?</t>
  </si>
  <si>
    <t>Roller &amp; Sorumluluk</t>
  </si>
  <si>
    <t>KVKK uyum sorumlusu/irtibat kişisi atanmış mı? Kim?</t>
  </si>
  <si>
    <t>VERBİS kaydı yapılmış mı? İrtibat kişisi güncel mi?</t>
  </si>
  <si>
    <t>GDPR kapsamında DPO (veri koruma görevlisi) atanmış mı veya gerekli mi?</t>
  </si>
  <si>
    <t>Bilgi güvenliği sorumlusu/CISO var mı? Kim?</t>
  </si>
  <si>
    <t>KVKK komitesi veya uyum ekibi var mı? Üyeleri kimler?</t>
  </si>
  <si>
    <t>Çalışanlara KVKK/veri güvenliği eğitimi veriliyor mu? Sıklığı?</t>
  </si>
  <si>
    <t>Sistem Manzarası</t>
  </si>
  <si>
    <t>Şirkette kullanılan tüm ana yazılımları listeleyin (ERP, CRM, İK, muhasebe...).</t>
  </si>
  <si>
    <t>Sunucular nerede? (şirket içi / veri merkezi / bulut - lokasyon belirtin)</t>
  </si>
  <si>
    <t>Kullanılan bulut servis sağlayıcıları hangileri? (AWS, Azure, GCP...)</t>
  </si>
  <si>
    <t>E-posta ve ofis altyapısı nedir? (Microsoft 365 / Google Workspace / diğer)</t>
  </si>
  <si>
    <t>Şirket içinde geliştirilen (in-house) yazılımlar var mı? Kişisel veri işliyor mu?</t>
  </si>
  <si>
    <t>Kişisel veri içeren sistemlerin veri tabanları hangi ülkede barındırılıyor?</t>
  </si>
  <si>
    <t>Mevcut KVKK Durumu</t>
  </si>
  <si>
    <t>Daha önce KVKK uyum çalışması yapıldı mı? Ne zaman, kim tarafından?</t>
  </si>
  <si>
    <t>Mevcut aydınlatma metinleri, politika ve prosedürler nelerdir?</t>
  </si>
  <si>
    <t>Kurul'a yansıyan şikâyet, ihlal bildirimi veya idari yaptırım var mı?</t>
  </si>
  <si>
    <t>02-İnsan Kaynakları — Veri Toplama Formu</t>
  </si>
  <si>
    <t>İşe Alım</t>
  </si>
  <si>
    <t>Aday başvuruları hangi kanallardan alınıyor? (Kariyer.net, LinkedIn, web, referans...)</t>
  </si>
  <si>
    <t>İş ilanları hangi platformlarda yayınlanıyor? Platformlarla veri işleme sözleşmesi var mı?</t>
  </si>
  <si>
    <t>CV'ler nerede saklanıyor? (ATS yazılımı, e-posta, klasör, fiziki dosya)</t>
  </si>
  <si>
    <t>Olumsuz sonuçlanan aday CV'leri ne kadar süre saklanıyor? Aday havuzu var mı?</t>
  </si>
  <si>
    <t>Aday havuzunda tutma için adaydan açık rıza alınıyor mu?</t>
  </si>
  <si>
    <t>Adaylara aydınlatma metni sunuluyor mu? Hangi aşamada?</t>
  </si>
  <si>
    <t>Mülakat notları ve değerlendirme formları tutuluyor mu? Nerede?</t>
  </si>
  <si>
    <t>Kişilik envanteri, yetenek testi veya değerlendirme merkezi kullanılıyor mu? Hangi firma?</t>
  </si>
  <si>
    <t>Referans kontrolü yapılıyor mu? Adayın bilgisi/rızası dahilinde mi?</t>
  </si>
  <si>
    <t>Sosyal medya taraması yapılıyor mu?</t>
  </si>
  <si>
    <t>Adli sicil kaydı isteniyor mu? Hangi pozisyonlar için ve hangi dayanakla?</t>
  </si>
  <si>
    <t>İşe alım sürecinde dış danışmanlık/headhunter kullanılıyor mu? Sözleşmesi var mı?</t>
  </si>
  <si>
    <t>Aday verileri yurt dışı merkezli ATS'de mi tutuluyor? (Workable, Greenhouse vb.)</t>
  </si>
  <si>
    <t>Stajyer ve öğrenci başvuruları nasıl yönetiliyor? Veli onayı gereken durumlar var mı?</t>
  </si>
  <si>
    <t>Yapay zekâ destekli CV eleme/aday puanlama aracı kullanılıyor mu?</t>
  </si>
  <si>
    <t>Özlük Dosyası</t>
  </si>
  <si>
    <t>Özlük dosyasında hangi belgeler tutuluyor? Tam liste verin.</t>
  </si>
  <si>
    <t>Özlük dosyaları fiziki mi dijital mi? Nerede ve nasıl saklanıyor?</t>
  </si>
  <si>
    <t>Özlük dosyalarına kimler erişebiliyor? Erişim kaydı tutuluyor mu?</t>
  </si>
  <si>
    <t>Nüfus cüzdanı/kimlik fotokopisi alınıyor mu? T.C. kimlik no hangi amaçlarla kullanılıyor?</t>
  </si>
  <si>
    <t>Çalışanlardan fotoğraf alınıyor mu? Nerelerde kullanılıyor?</t>
  </si>
  <si>
    <t>Aile durumu, eş ve çocuk bilgileri (AGİ, BES) hangi amaçla toplanıyor?</t>
  </si>
  <si>
    <t>Askerlik durumu belgesi isteniyor mu?</t>
  </si>
  <si>
    <t>Eğitim diploması ve sertifikalar saklanıyor mu?</t>
  </si>
  <si>
    <t>Banka hesap (IBAN) bilgileri nasıl toplanıp aktarılıyor?</t>
  </si>
  <si>
    <t>İşten ayrılan çalışanların özlük dosyaları ne kadar süre saklanıyor?</t>
  </si>
  <si>
    <t>İK yazılımı hangisi? Sunucusu nerede? (Logo, SAP HR, Kolay İK, yurtdışı SaaS...)</t>
  </si>
  <si>
    <t>Sendika üyeliği bilgisi işleniyor mu? (özel nitelikli veri - m.6)</t>
  </si>
  <si>
    <t>Sağlık Verileri</t>
  </si>
  <si>
    <t>İşe giriş sağlık raporu alınıyor mu? Nerede saklanıyor?</t>
  </si>
  <si>
    <t>Periyodik sağlık muayeneleri yapılıyor mu? Sonuçlara kim erişiyor?</t>
  </si>
  <si>
    <t>İşyeri hekimi var mı? Bordrolu mu OSGB mi? OSGB sözleşmesi var mı?</t>
  </si>
  <si>
    <t>Sağlık verileri İK dosyasından ayrı mı tutuluyor? (m.6/3 gereği işyeri hekimi sır saklama)</t>
  </si>
  <si>
    <t>Rapor/istirahat belgeleri nasıl işleniyor? SGK bildirimi nasıl yapılıyor?</t>
  </si>
  <si>
    <t>Engellilik durumu bilgisi işleniyor mu? (teşvik/kota amaçlı)</t>
  </si>
  <si>
    <t>Kan grubu bilgisi toplanıyor mu? Hangi amaçla?</t>
  </si>
  <si>
    <t>Hamilelik/doğum bilgileri nasıl işleniyor?</t>
  </si>
  <si>
    <t>Özel sağlık sigortası/tamamlayıcı sigorta var mı? Sigorta şirketine hangi veriler gidiyor?</t>
  </si>
  <si>
    <t>Pandemi döneminden kalan aşı/test kaydı hâlâ saklanıyor mu?</t>
  </si>
  <si>
    <t>Bordro &amp; Yan Haklar</t>
  </si>
  <si>
    <t>Bordro şirket içinde mi hazırlanıyor, dış firmada mı (SMMM/outsource)?</t>
  </si>
  <si>
    <t>Bordro yazılımı hangisi? Verileri nerede barındırıyor?</t>
  </si>
  <si>
    <t>Maaş bilgilerine kimler erişebiliyor?</t>
  </si>
  <si>
    <t>İcra kesintisi ve nafaka bilgileri nasıl işleniyor?</t>
  </si>
  <si>
    <t>BES (otomatik katılım) kapsamında hangi veriler hangi şirkete aktarılıyor?</t>
  </si>
  <si>
    <t>Yemek kartı firmasına (Multinet, Sodexo, Edenred...) hangi veriler veriliyor?</t>
  </si>
  <si>
    <t>Servis/ulaşım hizmeti var mı? Güzergâh listelerinde adres bilgisi kimlerle paylaşılıyor?</t>
  </si>
  <si>
    <t>Avans, prim, ikramiye kayıtları nerede tutuluyor?</t>
  </si>
  <si>
    <t>Eğitim &amp; Performans</t>
  </si>
  <si>
    <t>Performans değerlendirme sistemi var mı? Hangi yazılımda?</t>
  </si>
  <si>
    <t>360 derece değerlendirme yapılıyor mu? Değerlendiren/değerlendirilen verileri nasıl korunuyor?</t>
  </si>
  <si>
    <t>Eğitim kayıtları (katılım, sertifika, sınav sonuçları) nerede tutuluyor?</t>
  </si>
  <si>
    <t>E-öğrenme platformu kullanılıyor mu? (Udemy Business, LinkedIn Learning...) Yurt dışı aktarım var mı?</t>
  </si>
  <si>
    <t>Hedef ve prim hesaplamalarında kişisel performans verileri nasıl işleniyor?</t>
  </si>
  <si>
    <t>Yetenek/terfi havuzu değerlendirmeleri kimlerle paylaşılıyor?</t>
  </si>
  <si>
    <t>Çalışan memnuniyeti anketleri anonim mi? Hangi platformda?</t>
  </si>
  <si>
    <t>Kariyer planlama görüşme notları tutuluyor mu?</t>
  </si>
  <si>
    <t>Eğitim videolarında/materyallerinde çalışan görüntüleri kullanılıyor mu?</t>
  </si>
  <si>
    <t>Performans iyileştirme planları (PIP) nasıl belgeleniyor?</t>
  </si>
  <si>
    <t>Disiplin &amp; Soruşturma</t>
  </si>
  <si>
    <t>Disiplin süreci nasıl işliyor? Savunma ve tutanaklar nerede saklanıyor?</t>
  </si>
  <si>
    <t>İç soruşturmalarda hangi veriler inceleniyor? (mail, log, kamera)</t>
  </si>
  <si>
    <t>İhbar hattı/etik hattı var mı? Kim işletiyor? Anonim bildirime izin veriyor mu?</t>
  </si>
  <si>
    <t>Disiplin cezaları sicile işleniyor mu? Ne kadar süre saklanıyor?</t>
  </si>
  <si>
    <t>Mobbing/taciz şikâyetleri nasıl kayıt altına alınıyor? Erişim kısıtı var mı?</t>
  </si>
  <si>
    <t>Ceza mahkûmiyeti bilgisi işlenen durum var mı? (m.6 özel nitelikli)</t>
  </si>
  <si>
    <t>Soruşturma dosyalarına dış hukuk bürosu erişiyor mu?</t>
  </si>
  <si>
    <t>Çalışan İzleme</t>
  </si>
  <si>
    <t>Kartlı geçiş (PDKS) sistemi var mı? Hangi firma? Veriler nerede?</t>
  </si>
  <si>
    <t>Giriş-çıkış kayıtları hangi amaçlarla kullanılıyor? (mesai, disiplin, güvenlik)</t>
  </si>
  <si>
    <t>PDKS'de biyometrik veri (parmak izi, yüz tanıma) kullanılıyor mu? (m.6 - açık rıza gerekir)</t>
  </si>
  <si>
    <t>Kurumsal e-postalar izleniyor/denetleniyor mu? Çalışanlara bildirilmiş mi?</t>
  </si>
  <si>
    <t>İnternet kullanımı loglanıyor mu? Politikada açıkça belirtilmiş mi?</t>
  </si>
  <si>
    <t>Bilgisayar ekran izleme veya DLP yazılımı var mı? Hangisi?</t>
  </si>
  <si>
    <t>Şirket telefonlarında MDM (mobil cihaz yönetimi) var mı? Kişisel cihazlarda da mı (BYOD)?</t>
  </si>
  <si>
    <t>Araç takip sistemi var mı? Mesai dışında da konum izleniyor mu?</t>
  </si>
  <si>
    <t>Çağrı merkezi/satış görüşmeleri kaydediliyor mu? Çalışan bilgilendirilmiş mi?</t>
  </si>
  <si>
    <t>İzleme faaliyetleri için işyeri bildirimi/politikası var mı? (Anayasa m.20, İşK, Kurul kararları)</t>
  </si>
  <si>
    <t>Uzaktan çalışanlar için ek izleme aracı kullanılıyor mu?</t>
  </si>
  <si>
    <t>İzleme verilerine kimler, hangi süreçle erişebiliyor?</t>
  </si>
  <si>
    <t>Zimmet &amp; Ekipman</t>
  </si>
  <si>
    <t>Zimmet formu ve envanteri nasıl tutuluyor?</t>
  </si>
  <si>
    <t>Zimmetli cihazlarda hangi kişisel veriler bulunuyor?</t>
  </si>
  <si>
    <t>Cihaz iadesinde veri silme prosedürü var mı?</t>
  </si>
  <si>
    <t>Şirket aracı tahsisinde ehliyet/ceza puanı bilgisi işleniyor mu?</t>
  </si>
  <si>
    <t>SIM kart/hat tahsisi kayıtları nasıl tutuluyor?</t>
  </si>
  <si>
    <t>Kayıp/çalıntı cihaz prosedürü var mı? (ihlal bildirimiyle bağlantılı)</t>
  </si>
  <si>
    <t>İşten Ayrılış</t>
  </si>
  <si>
    <t>İşten ayrılış prosedürü (offboarding checklist) var mı?</t>
  </si>
  <si>
    <t>Ayrılan çalışanın hesapları ne kadar sürede kapatılıyor?</t>
  </si>
  <si>
    <t>Ayrılan çalışanın e-postaları ne oluyor? (yönlendirme, arşiv, silme - Kurul kararlarına dikkat)</t>
  </si>
  <si>
    <t>İbraname ve çıkış mülakatı kayıtları nerede saklanıyor?</t>
  </si>
  <si>
    <t>SGK çıkış bildirimi ve İŞKUR bildirimleri nasıl yapılıyor?</t>
  </si>
  <si>
    <t>Ayrılan çalışan hakkında referans bilgisi veriliyor mu? Rıza alınıyor mu?</t>
  </si>
  <si>
    <t>Kıdem/ihbar hesap belgeleri ne kadar saklanıyor?</t>
  </si>
  <si>
    <t>İşe iade davası riskine karşı hangi veriler, ne kadar süre tutuluyor?</t>
  </si>
  <si>
    <t>Ayrılan çalışanın erişim kartı/yetkileri sistemden ne zaman siliniyor?</t>
  </si>
  <si>
    <t>Emeklilik işlemlerinde hangi kurumlarla veri paylaşılıyor?</t>
  </si>
  <si>
    <t>Yakın &amp; Acil Durum</t>
  </si>
  <si>
    <t>Acil durum kişisi bilgisi toplanıyor mu? (üçüncü kişi verisi - aydınlatma nasıl yapılıyor?)</t>
  </si>
  <si>
    <t>Eş/çocuk bilgileri hangi süreçlerde kullanılıyor?</t>
  </si>
  <si>
    <t>Çalışan yakınlarına ait sağlık verisi işleniyor mu? (bakım izni vb.)</t>
  </si>
  <si>
    <t>Vefat/hastalık durumlarında yakınlarla iletişim kayıtları tutuluyor mu?</t>
  </si>
  <si>
    <t>İSG</t>
  </si>
  <si>
    <t>İSG eğitim kayıtları ve tutanakları nerede tutuluyor?</t>
  </si>
  <si>
    <t>İş kazası kayıtları ve SGK bildirimleri nasıl yapılıyor?</t>
  </si>
  <si>
    <t>Risk değerlendirmelerinde kişisel veri işleniyor mu?</t>
  </si>
  <si>
    <t>OSGB firmasıyla veri işleme sözleşmesi var mı?</t>
  </si>
  <si>
    <t>Ramak kala olay bildirimlerinde kişi bilgisi kaydediliyor mu?</t>
  </si>
  <si>
    <t>Kişisel koruyucu donanım teslim kayıtları tutuluyor mu?</t>
  </si>
  <si>
    <t>Acil durum ekip listeleri (yangın, ilkyardım) nerede yayınlanıyor?</t>
  </si>
  <si>
    <t>Yabancı &amp; Stajyer</t>
  </si>
  <si>
    <t>Yabancı çalışan var mı? Çalışma izni süreçlerinde hangi veriler işleniyor?</t>
  </si>
  <si>
    <t>Stajyer öğrenci bilgileri okullarla nasıl paylaşılıyor?</t>
  </si>
  <si>
    <t>18 yaş altı stajyer/çırak var mı? Veli rızası alınıyor mu?</t>
  </si>
  <si>
    <t>Alt işveren (taşeron) çalışanlarının verileri işleniyor mu?</t>
  </si>
  <si>
    <t>Freelancer/danışman sözleşmelilerin verileri nasıl yönetiliyor?</t>
  </si>
  <si>
    <t>03-Bilgi Teknolojileri — Veri Toplama Formu</t>
  </si>
  <si>
    <t>Sunucu &amp; Altyapı</t>
  </si>
  <si>
    <t>Şirket içi (on-premise) sunucular var mı? Lokasyonları ve üzerindeki sistemler neler?</t>
  </si>
  <si>
    <t>Sunucu odasına fiziksel erişim nasıl kontrol ediliyor?</t>
  </si>
  <si>
    <t>Veri merkezi (colocation) kullanılıyor mu? Hangi firma, hangi şehir/ülke?</t>
  </si>
  <si>
    <t>Sanallaştırma altyapısı nedir? (VMware, Hyper-V, Proxmox...)</t>
  </si>
  <si>
    <t>Veri tabanı sistemleri neler? (MSSQL, PostgreSQL, MySQL, Oracle, MongoDB...)</t>
  </si>
  <si>
    <t>Hangi veri tabanlarında kişisel veri var? Envanteri çıkarılmış mı?</t>
  </si>
  <si>
    <t>Veri tabanlarında şifreleme (at-rest encryption) uygulanıyor mu?</t>
  </si>
  <si>
    <t>Dosya sunucusu/paylaşım alanları var mı? Erişim yapısı nasıl?</t>
  </si>
  <si>
    <t>Eski/kullanım dışı sunucularda veri kaldı mı? İmha prosedürü uygulandı mı?</t>
  </si>
  <si>
    <t>Sunucu bakımını kim yapıyor? Dış firma uzaktan erişiyor mu? Sözleşmesi var mı?</t>
  </si>
  <si>
    <t>Test/geliştirme sunucularında gerçek kişisel veri var mı?</t>
  </si>
  <si>
    <t>Sunucu envanteri ve ağ topolojisi dokümante edilmiş mi?</t>
  </si>
  <si>
    <t>Kesintisiz güç ve iklimlendirme (fiziksel koruma) mevcut mu?</t>
  </si>
  <si>
    <t>Sunuculara internet üzerinden doğrudan erişim (RDP/SSH açık port) var mı?</t>
  </si>
  <si>
    <t>Veri tabanı yedeklerinin kopyaları nerelerde tutuluyor?</t>
  </si>
  <si>
    <t>Bulut Servisleri</t>
  </si>
  <si>
    <t>AWS kullanılıyor mu? Hangi servisler, hangi region? (kişisel veri lokasyonu)</t>
  </si>
  <si>
    <t>Azure kullanılıyor mu? Hangi servisler, hangi region?</t>
  </si>
  <si>
    <t>Google Cloud kullanılıyor mu? Hangi servisler, hangi region?</t>
  </si>
  <si>
    <t>Bulut sağlayıcılarla DPA (veri işleme sözleşmesi) imzalanmış mı?</t>
  </si>
  <si>
    <t>Bulutta hangi kişisel veri kategorileri barındırılıyor?</t>
  </si>
  <si>
    <t>Bulut hesaplarının root/admin erişimi kimde? MFA açık mı?</t>
  </si>
  <si>
    <t>Türkiye region seçeneği değerlendirildi mi? Veri yerelleştirme gereksinimi var mı?</t>
  </si>
  <si>
    <t>SaaS uygulamaları envanteri çıkarıldı mı? (gölge BT / shadow IT riski)</t>
  </si>
  <si>
    <t>Bulut depolama (S3, Blob, Drive) erişim politikaları nasıl? Public bucket kontrolü yapılıyor mu?</t>
  </si>
  <si>
    <t>Bulut maliyet/kullanım raporlarında kişisel veri görünüyor mu?</t>
  </si>
  <si>
    <t>Bulut sağlayıcının alt işleyenleri (sub-processor) listesi takip ediliyor mu?</t>
  </si>
  <si>
    <t>Buluttan çıkış (exit) stratejisi ve veri iade/silme prosedürü var mı?</t>
  </si>
  <si>
    <t>KVKK m.9 kapsamında yurt dışı aktarım için hangi mekanizma kullanılıyor? (standart sözleşme, taahhütname...)</t>
  </si>
  <si>
    <t>Standart sözleşme imzalandıysa Kurul'a 5 iş günü içinde bildirim yapıldı mı?</t>
  </si>
  <si>
    <t>CDN kullanılıyor mu? (Cloudflare, Akamai...) IP adresleri nasıl işleniyor?</t>
  </si>
  <si>
    <t>Ağ &amp; Güvenlik</t>
  </si>
  <si>
    <t>Firewall markası/modeli nedir? Kurallar dokümante edilmiş mi?</t>
  </si>
  <si>
    <t>VPN kullanılıyor mu? Kimler erişebiliyor? Loglanıyor mu?</t>
  </si>
  <si>
    <t>IDS/IPS veya SIEM çözümü var mı? Hangisi?</t>
  </si>
  <si>
    <t>Misafir Wi-Fi ağı kurumsal ağdan ayrık mı? 5651 kapsamında log tutuluyor mu?</t>
  </si>
  <si>
    <t>Ağ segmentasyonu var mı? (kişisel veri içeren sistemler ayrık mı?)</t>
  </si>
  <si>
    <t>Antivirüs/EDR çözümü nedir? Merkezi yönetiliyor mu?</t>
  </si>
  <si>
    <t>E-posta güvenliği (spam/phishing filtresi) var mı?</t>
  </si>
  <si>
    <t>DLP (veri sızıntısı önleme) çözümü var mı?</t>
  </si>
  <si>
    <t>Zafiyet taraması düzenli yapılıyor mu? Hangi araçla?</t>
  </si>
  <si>
    <t>Web uygulama güvenliği (WAF) var mı?</t>
  </si>
  <si>
    <t>5651 sayılı Kanun kapsamında erişim logları imzalı/damgalı tutuluyor mu?</t>
  </si>
  <si>
    <t>Uzak masaüstü araçları (TeamViewer, AnyDesk) kullanımı kontrol ediliyor mu?</t>
  </si>
  <si>
    <t>Kimlik &amp; Erişim</t>
  </si>
  <si>
    <t>Active Directory / Entra ID kullanılıyor mu? Kaç kullanıcı?</t>
  </si>
  <si>
    <t>SSO (tek oturum açma) hangi uygulamalarda aktif?</t>
  </si>
  <si>
    <t>MFA hangi sistemlerde zorunlu? İstisnalar var mı?</t>
  </si>
  <si>
    <t>Yetki matrisi (kim hangi sisteme, hangi rolle) dokümante edilmiş mi?</t>
  </si>
  <si>
    <t>Erişim yetkileri düzenli gözden geçiriliyor mu? (access review) Sıklığı?</t>
  </si>
  <si>
    <t>Ayrıcalıklı hesaplar (admin) nasıl yönetiliyor? PAM çözümü var mı?</t>
  </si>
  <si>
    <t>Ortak/paylaşılan hesaplar var mı? Hangi sistemlerde?</t>
  </si>
  <si>
    <t>Servis hesapları ve API anahtarları nasıl saklanıyor? (vault kullanımı)</t>
  </si>
  <si>
    <t>İşe girişte hesap açma (provisioning) süreci nasıl? Onay mekanizması var mı?</t>
  </si>
  <si>
    <t>İşten ayrılışta hesaplar otomatik mi kapanıyor? SLA nedir?</t>
  </si>
  <si>
    <t>Dış danışman/tedarikçilere hesap açılıyor mu? Süreli mi?</t>
  </si>
  <si>
    <t>Misafir/stajyer hesapları nasıl yönetiliyor?</t>
  </si>
  <si>
    <t>Rol bazlı erişim (RBAC) mi, kişi bazlı mı?</t>
  </si>
  <si>
    <t>Kritik sistemlerde görevler ayrılığı (segregation of duties) uygulanıyor mu?</t>
  </si>
  <si>
    <t>Veri tabanına doğrudan erişimi olan kaç kişi var?</t>
  </si>
  <si>
    <t>Erişim talepleri nasıl kayıt altına alınıyor? (ticket sistemi)</t>
  </si>
  <si>
    <t>Uygulama içi yetki seviyeleri (ör. İK modülünde maaş görme) tanımlı mı?</t>
  </si>
  <si>
    <t>Eski çalışanların aktif hesabı kalıp kalmadığı en son ne zaman denetlendi?</t>
  </si>
  <si>
    <t>E-posta &amp; Ofis</t>
  </si>
  <si>
    <t>E-posta altyapısı nedir? (M365, Google Workspace, yerel Exchange, hosting)</t>
  </si>
  <si>
    <t>E-posta verileri hangi ülkede barındırılıyor? (tenant lokasyonu)</t>
  </si>
  <si>
    <t>E-posta arşivleme politikası var mı? Ne kadar saklanıyor?</t>
  </si>
  <si>
    <t>Grup/ortak posta kutuları (info@, ik@) kimlerce erişiliyor?</t>
  </si>
  <si>
    <t>E-posta ile kişisel veri gönderimi kural altına alınmış mı? (şifreli gönderim vb.)</t>
  </si>
  <si>
    <t>Otomatik yönlendirme (dış adrese forward) engellenmiş mi?</t>
  </si>
  <si>
    <t>OneDrive/SharePoint/Google Drive paylaşım politikaları nasıl? Dış paylaşım açık mı?</t>
  </si>
  <si>
    <t>Kişisel e-posta hesaplarının iş için kullanımı yasak mı? Denetleniyor mu?</t>
  </si>
  <si>
    <t>E-imza / KEP hesapları kimin adına ve nasıl yönetiliyor?</t>
  </si>
  <si>
    <t>Toplantı kayıtları (Teams/Zoom recording) alınıyor mu? Nerede saklanıyor, kimlere duyuruluyor?</t>
  </si>
  <si>
    <t>Log &amp; İzleme</t>
  </si>
  <si>
    <t>Hangi sistemlerin logları tutuluyor? Merkezi log yönetimi var mı?</t>
  </si>
  <si>
    <t>Loglarda hangi kişisel veriler yer alıyor? (IP, kullanıcı adı, işlem detayı)</t>
  </si>
  <si>
    <t>Log saklama süreleri tanımlı mı? Sistemlere göre listeleyin.</t>
  </si>
  <si>
    <t>Loglara kimler erişebiliyor? Logların bütünlüğü korunuyor mu?</t>
  </si>
  <si>
    <t>Kullanıcı işlem logları (kim hangi kaydı gördü/değiştirdi) tutuluyor mu?</t>
  </si>
  <si>
    <t>5651 kapsamındaki loglar ile iç loglar ayrışıyor mu?</t>
  </si>
  <si>
    <t>SIEM'e hangi kaynaklar bağlı? Alarm senaryoları tanımlı mı?</t>
  </si>
  <si>
    <t>Log analizi/inceleme hangi durumlarda yapılıyor? Yetkilendirme süreci var mı?</t>
  </si>
  <si>
    <t>Sistem yöneticilerinin işlemleri de loglanıyor mu?</t>
  </si>
  <si>
    <t>Loglar yurt dışı SaaS'a gidiyor mu? (Datadog, Splunk Cloud, New Relic...)</t>
  </si>
  <si>
    <t>Log süresi dolunca otomatik siliniyor mu?</t>
  </si>
  <si>
    <t>VERBİS'te beyan edilen saklama süreleri log pratiğiyle uyumlu mu?</t>
  </si>
  <si>
    <t>Yedekleme &amp; DR</t>
  </si>
  <si>
    <t>Yedekleme politikası var mı? Kapsam, sıklık, saklama süresi nedir?</t>
  </si>
  <si>
    <t>Yedekler nerede tutuluyor? (yerel, uzak lokasyon, bulut - ülke belirtin)</t>
  </si>
  <si>
    <t>Yedekler şifreleniyor mu?</t>
  </si>
  <si>
    <t>Yedekten dönüş (restore) testi yapılıyor mu? Son test ne zaman?</t>
  </si>
  <si>
    <t>Silinmesi gereken kişisel veriler yedeklerden de siliniyor mu? Prosedürü var mı?</t>
  </si>
  <si>
    <t>Felaket kurtarma (DR) planı var mı? DR sahası nerede?</t>
  </si>
  <si>
    <t>İş sürekliliği planı (BCP) dokümante edilmiş mi?</t>
  </si>
  <si>
    <t>Yedekleme yazılımı/servisi hangisi? (Veeam, Acronis, bulut yedek...)</t>
  </si>
  <si>
    <t>Teyp/harici disk yedekleri var mı? Fiziksel güvenliği nasıl?</t>
  </si>
  <si>
    <t>Yedeklere erişim yetkisi kimlerde?</t>
  </si>
  <si>
    <t>Arşiv verisi ile aktif veri ayrımı yapılıyor mu?</t>
  </si>
  <si>
    <t>Saklama süresi dolan yedekler imha ediliyor mu? Kayıt tutuluyor mu?</t>
  </si>
  <si>
    <t>Uç Nokta &amp; Mobil</t>
  </si>
  <si>
    <t>Çalışan bilgisayarları şirket envanterinde mi? Disk şifreleme (BitLocker/FileVault) açık mı?</t>
  </si>
  <si>
    <t>Yerel admin yetkisi kimlerde?</t>
  </si>
  <si>
    <t>MDM çözümü var mı? Hangi cihazlar kayıtlı?</t>
  </si>
  <si>
    <t>BYOD (kişisel cihazla çalışma) politikası var mı?</t>
  </si>
  <si>
    <t>Şirket telefonlarında hangi uygulamalar/veriler var?</t>
  </si>
  <si>
    <t>Uzaktan silme (remote wipe) yeteneği var mı?</t>
  </si>
  <si>
    <t>Ekran kilidi/parola zorunluluğu teknik olarak dayatılıyor mu?</t>
  </si>
  <si>
    <t>Cihazlarda yerel klasörlerde kişisel veri birikiyor mu? (masaüstü Excel'leri riski)</t>
  </si>
  <si>
    <t>Yazıcı/tarayıcı güvenliği: çıktılar ortada kalıyor mu? Follow-me printing var mı?</t>
  </si>
  <si>
    <t>Ekran koruyucu/temiz masa politikası uygulanıyor mu?</t>
  </si>
  <si>
    <t>Kiosk/ortak kullanım bilgisayarları var mı? Oturum yönetimi nasıl?</t>
  </si>
  <si>
    <t>Ev/uzaktan çalışma ekipmanlarının güvenliği nasıl sağlanıyor?</t>
  </si>
  <si>
    <t>USB &amp; Medya</t>
  </si>
  <si>
    <t>USB bellek kullanımı serbest mi, kısıtlı mı, engelli mi?</t>
  </si>
  <si>
    <t>USB istisnaları nasıl yönetiliyor? Kayıt tutuluyor mu?</t>
  </si>
  <si>
    <t>Harici disklerle veri taşınması kural altına alınmış mı?</t>
  </si>
  <si>
    <t>CD/DVD, hafıza kartı gibi medyalar kullanılıyor mu?</t>
  </si>
  <si>
    <t>Kullanım dışı medyaların imhası nasıl yapılıyor? (fiziksel imha, tutanak)</t>
  </si>
  <si>
    <t>Şifreli USB zorunluluğu var mı?</t>
  </si>
  <si>
    <t>Yapay Zekâ</t>
  </si>
  <si>
    <t>Çalışanlar ChatGPT/Claude/Gemini gibi araçları kullanıyor mu? Kurumsal hesap mı bireysel mi?</t>
  </si>
  <si>
    <t>AI araçlarına kişisel veri/müşteri verisi girilmesi yasaklanmış mı? Politika var mı?</t>
  </si>
  <si>
    <t>Microsoft Copilot kullanılıyor mu? Hangi verilere erişiyor?</t>
  </si>
  <si>
    <t>AI kullanım politikası dokümante edilmiş mi?</t>
  </si>
  <si>
    <t>API üzerinden LLM entegrasyonu var mı? Hangi veriler gönderiliyor?</t>
  </si>
  <si>
    <t>AI sağlayıcılarla veri işleme koşulları (eğitimde kullanım kapatma vb.) kontrol edildi mi?</t>
  </si>
  <si>
    <t>AI araçları yurt dışına veri aktarımı oluşturuyor mu? m.9 mekanizması var mı?</t>
  </si>
  <si>
    <t>Ürün/hizmet içinde AI özellik var mı? Müşterilere açıklanıyor mu?</t>
  </si>
  <si>
    <t>Otomatik karar verme (profilleme) yapan sistem var mı? (GDPR m.22 / KVKK m.11-g)</t>
  </si>
  <si>
    <t>AI çıktılarının doğruluğu ve ayrımcılık riski değerlendiriliyor mu?</t>
  </si>
  <si>
    <t>Toplantı asistanları (Otter, Fireflies, Teams Copilot) kayıt alıyor mu? Katılımcılar bilgilendiriliyor mu?</t>
  </si>
  <si>
    <t>AI aboneliklerinin envanteri (kim, hangi araç, hangi plan) var mı?</t>
  </si>
  <si>
    <t>Geliştirici Araçları</t>
  </si>
  <si>
    <t>GitHub/GitLab organizasyon hesabı mı kullanılıyor? Kişisel hesaplarda şirket kodu var mı?</t>
  </si>
  <si>
    <t>Repository'ler private mı? Erişim listesi güncel mi?</t>
  </si>
  <si>
    <t>Kod içinde/commit geçmişinde gömülü sır (parola, API key) taraması yapılıyor mu?</t>
  </si>
  <si>
    <t>CI/CD platformu hangisi? (Jenkins, GitHub Actions, GitLab CI...) Log ve secret yönetimi nasıl?</t>
  </si>
  <si>
    <t>Docker/container imajlarında kişisel veri veya sır var mı?</t>
  </si>
  <si>
    <t>Container registry nerede? (Docker Hub public risk kontrolü)</t>
  </si>
  <si>
    <t>Ayrılan geliştiricilerin repo erişimleri kapatılıyor mu?</t>
  </si>
  <si>
    <t>Üçüncü taraf geliştirici/dış yazılım firması repo erişimi var mı? Sözleşmesi var mı?</t>
  </si>
  <si>
    <t>Kod inceleme (code review) zorunlu mu?</t>
  </si>
  <si>
    <t>Altyapı-kod (IaC) dosyalarında hassas bilgi kontrolü yapılıyor mu?</t>
  </si>
  <si>
    <t>Veri İmha &amp; Donanım</t>
  </si>
  <si>
    <t>Hurda bilgisayar/disk imha prosedürü var mı? Tutanak tutuluyor mu?</t>
  </si>
  <si>
    <t>Disk imhası nasıl yapılıyor? (fiziksel kırma, degauss, yazılımla silme)</t>
  </si>
  <si>
    <t>İmha hizmeti dış firmadan mı alınıyor? Sertifika veriyor mu?</t>
  </si>
  <si>
    <t>Kiralık/leasing cihazlar iade edilirken veriler siliniyor mu?</t>
  </si>
  <si>
    <t>Yazıcı/fotokopi cihazlarının dahili diskleri imha sürecine dahil mi?</t>
  </si>
  <si>
    <t>Periyodik imha süreleri (Yönetmelik: en geç 6 ayda bir) uygulanıyor mu?</t>
  </si>
  <si>
    <t>Silme/yok etme/anonim hale getirme kayıtları (imha tutanakları) tutuluyor mu?</t>
  </si>
  <si>
    <t>Saklama ve imha politikası dokümante edilmiş mi?</t>
  </si>
  <si>
    <t>Olay Yönetimi</t>
  </si>
  <si>
    <t>Bilgi güvenliği olay müdahale planı var mı?</t>
  </si>
  <si>
    <t>Veri ihlali tespit edilirse kim, kime, nasıl bildiriyor? (iç eskalasyon zinciri)</t>
  </si>
  <si>
    <t>KVKK 72 saat / Kurul bildirimi prosedürü tanımlı mı?</t>
  </si>
  <si>
    <t>Geçmişte yaşanan güvenlik olayları/ihlaller var mı? Kayıtları tutuldu mu?</t>
  </si>
  <si>
    <t>Fidye yazılımı (ransomware) senaryosuna hazırlık var mı?</t>
  </si>
  <si>
    <t>Siber sigorta poliçesi var mı? Kapsamı nedir?</t>
  </si>
  <si>
    <t>Olay kayıt defteri (incident register) tutuluyor mu?</t>
  </si>
  <si>
    <t>Phishing tatbikatı/farkındalık testi yapılıyor mu?</t>
  </si>
  <si>
    <t>Adli bilişim desteği için anlaşmalı firma var mı?</t>
  </si>
  <si>
    <t>Olay sonrası kök neden analizi ve iyileştirme yapılıyor mu?</t>
  </si>
  <si>
    <t>Şifre Politikası</t>
  </si>
  <si>
    <t>Parola politikası (uzunluk, karmaşıklık, süre) teknik olarak dayatılıyor mu?</t>
  </si>
  <si>
    <t>Parola yöneticisi (1Password, Bitwarden...) kurumsal olarak kullanılıyor mu?</t>
  </si>
  <si>
    <t>Parolalar dosyada/Excel'de tutuluyor mu? (yaygın risk)</t>
  </si>
  <si>
    <t>Varsayılan parolalar değiştiriliyor mu? (cihaz, uygulama kurulumları)</t>
  </si>
  <si>
    <t>Parola sıfırlama süreci kimlik doğrulamalı mı?</t>
  </si>
  <si>
    <t>Sistemlerde parolalar hash'li mi saklanıyor? Hangi algoritma?</t>
  </si>
  <si>
    <t>Hesap kilitleme (brute force koruması) aktif mi?</t>
  </si>
  <si>
    <t>Kritik sistem parolaları için kasa/zarf prosedürü var mı?</t>
  </si>
  <si>
    <t>04-Yazılım Geliştirme — Veri Toplama Formu</t>
  </si>
  <si>
    <t>Repository &amp; Kod</t>
  </si>
  <si>
    <t>Kaynak kod nerede barındırılıyor? (GitHub, GitLab, Bitbucket, self-hosted)</t>
  </si>
  <si>
    <t>Kod tabanında sabit yazılmış (hardcoded) kişisel veri var mı?</t>
  </si>
  <si>
    <t>Kod yorumlarında/dokümantasyonda gerçek müşteri verisi geçiyor mu?</t>
  </si>
  <si>
    <t>Konfigürasyon dosyalarında bağlantı bilgileri açık mı, vault'ta mı?</t>
  </si>
  <si>
    <t>Repo erişim seviyeleri (read/write/admin) tanımlı mı?</t>
  </si>
  <si>
    <t>Fork/clone kısıtlamaları var mı? Kod dışarı çıkabilir mi?</t>
  </si>
  <si>
    <t>Açık kaynak katkılarında şirket kodu/verisi sızma riski değerlendirildi mi?</t>
  </si>
  <si>
    <t>Git geçmişinde daha önce sızmış sır/veri temizliği yapıldı mı?</t>
  </si>
  <si>
    <t>Kod sahipliği (CODEOWNERS) ve dal koruma kuralları tanımlı mı?</t>
  </si>
  <si>
    <t>Müşteriye özel geliştirmelerde müşteri verisi repoya giriyor mu?</t>
  </si>
  <si>
    <t>Test Verisi</t>
  </si>
  <si>
    <t>Test ortamlarında gerçek (production) verisi kullanılıyor mu?</t>
  </si>
  <si>
    <t>Test verisi anonimleştirme/maskeleme aracı veya prosedürü var mı?</t>
  </si>
  <si>
    <t>Production'dan test'e veri kopyalama kim tarafından, nasıl yapılıyor?</t>
  </si>
  <si>
    <t>Sentetik/dummy veri üretimi kullanılıyor mu?</t>
  </si>
  <si>
    <t>Test veri tabanlarına erişim production ile aynı kısıtlara mı tabi?</t>
  </si>
  <si>
    <t>Test ortamındaki veriler işi bitince siliniyor mu?</t>
  </si>
  <si>
    <t>UAT (kullanıcı kabul testi) ortamına müşteri erişiyor mu? Hangi verilerle?</t>
  </si>
  <si>
    <t>Demo ortamlarında gerçek kişi verisi var mı?</t>
  </si>
  <si>
    <t>Yük/performans testlerinde kullanılan veri setleri neler?</t>
  </si>
  <si>
    <t>Hata kayıtlarına (bug ticket) gerçek veri ekran görüntüsü ekleniyor mu?</t>
  </si>
  <si>
    <t>Dış test firması/QA outsource kullanılıyor mu? Veri erişimi ve sözleşmesi var mı?</t>
  </si>
  <si>
    <t>Mobil uygulama testlerinde (TestFlight vb.) gerçek kullanıcı verisi kullanılıyor mu?</t>
  </si>
  <si>
    <t>Ortamlar</t>
  </si>
  <si>
    <t>Ortam ayrımı (dev/staging/prod) net mi? Kim hangi ortama erişiyor?</t>
  </si>
  <si>
    <t>Production erişimi kaç kişide? Hangi rollerle?</t>
  </si>
  <si>
    <t>Production'a doğrudan müdahale (hotfix, DB update) prosedürü var mı? Loglanıyor mu?</t>
  </si>
  <si>
    <t>Staging ortamı internete açık mı? Kimlik doğrulaması var mı?</t>
  </si>
  <si>
    <t>Ortamlar arası veri akışı şeması çıkarılmış mı?</t>
  </si>
  <si>
    <t>Production veri tabanı yedeklerine geliştiriciler erişebiliyor mu?</t>
  </si>
  <si>
    <t>Feature flag/config yönetiminde kişisel veri toplanan özellikler işaretleniyor mu?</t>
  </si>
  <si>
    <t>Müşteri bazlı (tenant) veri izolasyonu nasıl sağlanıyor?</t>
  </si>
  <si>
    <t>Ortam değişkenlerinde (env) sır yönetimi nasıl?</t>
  </si>
  <si>
    <t>Prod verisine erişen destek/bakım ekranları (admin panel) yetki ve log yapısı nasıl?</t>
  </si>
  <si>
    <t>Log &amp; Debug</t>
  </si>
  <si>
    <t>Uygulama loglarında hangi kişisel veriler yazılıyor? (e-posta, IP, T.C. no riski)</t>
  </si>
  <si>
    <t>Debug modunda hassas veri konsola/dosyaya dökülüyor mu?</t>
  </si>
  <si>
    <t>Hata izleme araçları (Sentry, Crashlytics...) kullanılıyor mu? Hangi veriler gidiyor?</t>
  </si>
  <si>
    <t>APM araçları (New Relic, Datadog...) kişisel veri topluyor mu? Sunucuları nerede?</t>
  </si>
  <si>
    <t>Log maskeleme (PII scrubbing) uygulanıyor mu?</t>
  </si>
  <si>
    <t>Uygulama logları ne kadar saklanıyor? Otomatik siliniyor mu?</t>
  </si>
  <si>
    <t>Mobil uygulama analitiği (Firebase, Mixpanel...) hangi verileri topluyor?</t>
  </si>
  <si>
    <t>Session replay araçları (LogRocket, FullStory...) kullanılıyor mu?</t>
  </si>
  <si>
    <t>Loglara geliştiriciler serbestçe erişebiliyor mu?</t>
  </si>
  <si>
    <t>Kullanıcı destek taleplerinde log paylaşımı nasıl yapılıyor?</t>
  </si>
  <si>
    <t>API &amp; SDK</t>
  </si>
  <si>
    <t>Dışa açık API'lar kişisel veri döndürüyor mu? Endpoint envanteri var mı?</t>
  </si>
  <si>
    <t>API kimlik doğrulama/yetkilendirme yöntemi nedir? (OAuth, API key...)</t>
  </si>
  <si>
    <t>API rate limiting ve kötüye kullanım koruması var mı?</t>
  </si>
  <si>
    <t>Üçüncü taraf API'lara hangi kişisel veriler gönderiliyor? Liste çıkarın.</t>
  </si>
  <si>
    <t>Uygulamalara gömülü üçüncü taraf SDK'lar neler? (analitik, reklam, crash)</t>
  </si>
  <si>
    <t>SDK'ların veri toplama davranışları incelendi mi? (app store privacy label uyumu)</t>
  </si>
  <si>
    <t>API dokümantasyonunda gerçek veri örnekleri kullanılıyor mu?</t>
  </si>
  <si>
    <t>Webhook'larla dışarı veri akışı var mı? Alıcılar kimler?</t>
  </si>
  <si>
    <t>API loglarında istek/yanıt gövdeleri (kişisel veri dahil) saklanıyor mu?</t>
  </si>
  <si>
    <t>Kullanımdan kalkan (deprecated) API'lar kapatılıyor mu?</t>
  </si>
  <si>
    <t>Üçüncü Taraf Kod</t>
  </si>
  <si>
    <t>Kullanılan açık kaynak kütüphanelerin envanteri (SBOM) var mı?</t>
  </si>
  <si>
    <t>Bağımlılık zafiyet taraması (Dependabot, Snyk...) yapılıyor mu?</t>
  </si>
  <si>
    <t>Lisans uyumluluğu (GPL vb.) kontrol ediliyor mu?</t>
  </si>
  <si>
    <t>Dış yazılım firmasına geliştirme yaptırılıyor mu? Kod ve veri erişim sözleşmesi var mı?</t>
  </si>
  <si>
    <t>Tedarik edilen hazır yazılımların güvenlik değerlendirmesi yapılıyor mu?</t>
  </si>
  <si>
    <t>CDN'den yüklenen script'lerin bütünlük kontrolü (SRI) var mı?</t>
  </si>
  <si>
    <t>AI Kod Asistanları</t>
  </si>
  <si>
    <t>GitHub Copilot veya benzeri kod asistanı kullanılıyor mu? Kurumsal plan mı?</t>
  </si>
  <si>
    <t>Kod asistanına gönderilen bağlamda kişisel veri/sır olabilir mi? Filtre var mı?</t>
  </si>
  <si>
    <t>AI asistan telemetri/eğitim verisi paylaşım ayarları kontrol edildi mi?</t>
  </si>
  <si>
    <t>AI ile üretilen kodun güvenlik incelemesi yapılıyor mu?</t>
  </si>
  <si>
    <t>Şirket kodunun AI araçlarına yüklenmesi (dosya upload) kısıtlanmış mı?</t>
  </si>
  <si>
    <t>LLM tabanlı özelliklerde prompt loglama yapılıyor mu? Kişisel veri içeriyor mu?</t>
  </si>
  <si>
    <t>Model eğitimi için müşteri verisi kullanılıyor mu? Sözleşmesel dayanağı var mı?</t>
  </si>
  <si>
    <t>AI özellikleri için ayrı aydınlatma/şeffaflık bildirimi yapılıyor mu?</t>
  </si>
  <si>
    <t>Versiyon &amp; Süreç</t>
  </si>
  <si>
    <t>Sürüm yönetimi ve değişiklik onay süreci (change management) var mı?</t>
  </si>
  <si>
    <t>Privacy by design: yeni özellik tasarımında veri koruma değerlendirmesi yapılıyor mu?</t>
  </si>
  <si>
    <t>Yeni veri toplayan özellikler için DPIA/etki değerlendirmesi tetikleniyor mu?</t>
  </si>
  <si>
    <t>Veri minimizasyonu ilkesi ürün kararlarında gözetiliyor mu?</t>
  </si>
  <si>
    <t>Kullanıcı silme talebi geldiğinde tüm sistemlerden silme teknik olarak mümkün mü?</t>
  </si>
  <si>
    <t>Veri taşınabilirliği (export) özelliği var mı?</t>
  </si>
  <si>
    <t>Saklama sürelerinin otomatik uygulanması (TTL, arşivleme) kodlanmış mı?</t>
  </si>
  <si>
    <t>05-Satış — Veri Toplama Formu</t>
  </si>
  <si>
    <t>CRM</t>
  </si>
  <si>
    <t>Hangi CRM kullanılıyor? Sunucusu/verisi nerede barındırılıyor?</t>
  </si>
  <si>
    <t>CRM'de hangi kişisel veri alanları var? (ad, telefon, e-posta, notlar...)</t>
  </si>
  <si>
    <t>CRM'e serbest metin not girişi yapılıyor mu? İçerik kuralı var mı?</t>
  </si>
  <si>
    <t>CRM erişim yetkileri rol bazlı mı? Tüm satışçılar tüm müşterileri görüyor mu?</t>
  </si>
  <si>
    <t>CRM'den toplu veri dışa aktarma (export) kimler yapabiliyor?</t>
  </si>
  <si>
    <t>Kaybedilen müşteri/fırsat kayıtları ne kadar saklanıyor?</t>
  </si>
  <si>
    <t>CRM mobil uygulaması kullanılıyor mu? Kişisel cihazlarda mı?</t>
  </si>
  <si>
    <t>CRM ile e-posta/takvim senkronizasyonu var mı? Hangi veriler akıyor?</t>
  </si>
  <si>
    <t>CRM sağlayıcısıyla DPA imzalanmış mı?</t>
  </si>
  <si>
    <t>CRM'de görev/aktivite kayıtlarında üçüncü kişi verisi tutuluyor mu?</t>
  </si>
  <si>
    <t>Eski/ayrılan satışçının müşteri kayıtları nasıl devrediliyor?</t>
  </si>
  <si>
    <t>CRM'deki veriler başka sistemlere (ERP, e-posta aracı) otomatik akıyor mu?</t>
  </si>
  <si>
    <t>Lead &amp; Potansiyel</t>
  </si>
  <si>
    <t>Lead'ler hangi kanallardan toplanıyor? (web formu, fuar, satın alınmış liste, LinkedIn)</t>
  </si>
  <si>
    <t>Satın alınmış/hazır veri listesi kullanılıyor mu? Kaynağı ve hukuka uygunluğu?</t>
  </si>
  <si>
    <t>Lead'lere ilk temas nasıl yapılıyor? (soğuk arama/e-posta - ETK ileti onayı var mı?)</t>
  </si>
  <si>
    <t>İYS (İleti Yönetim Sistemi) kaydı var mı? Onaylar İYS'ye aktarılmış mı?</t>
  </si>
  <si>
    <t>Lead formlarında aydınlatma metni ve onay kutusu var mı?</t>
  </si>
  <si>
    <t>LinkedIn Sales Navigator vb. araçlardan veri aktarımı yapılıyor mu?</t>
  </si>
  <si>
    <t>Potansiyel müşteri verileri ne kadar süre tutuluyor? Silme kuralı var mı?</t>
  </si>
  <si>
    <t>Lead scoring/otomatik puanlama yapılıyor mu?</t>
  </si>
  <si>
    <t>B2B kontaklarda kişi verisi (çalışan adı, kurumsal e-posta) nasıl değerlendiriliyor?</t>
  </si>
  <si>
    <t>Yurtdışı lead'ler için GDPR uyumlu süreç işletiliyor mu?</t>
  </si>
  <si>
    <t>Teklif &amp; Sözleşme</t>
  </si>
  <si>
    <t>Tekliflerde müşteri tarafı kişi bilgileri nasıl saklanıyor?</t>
  </si>
  <si>
    <t>Teklif/sözleşme dosyaları nerede? (CRM, klasör, e-posta)</t>
  </si>
  <si>
    <t>Fiyatlama bilgilerine erişim kısıtı var mı?</t>
  </si>
  <si>
    <t>E-imza platformu kullanılıyor mu? (DocuSign vb.) Verisi nerede?</t>
  </si>
  <si>
    <t>Müşteri sözleşmelerinde KVKK/veri koruma maddeleri standart mı?</t>
  </si>
  <si>
    <t>İhale/RFP süreçlerinde referans müşteri bilgisi paylaşılıyor mu? İzinli mi?</t>
  </si>
  <si>
    <t>Sözleşme yenileme hatırlatmaları için kişi verisi işleniyor mu?</t>
  </si>
  <si>
    <t>Kazanılamayan tekliflere ait veriler siliniyor mu?</t>
  </si>
  <si>
    <t>Demo &amp; POC</t>
  </si>
  <si>
    <t>Demo taleplerinde hangi veriler toplanıyor?</t>
  </si>
  <si>
    <t>POC sürecinde müşterinin gerçek verisi sisteme yükleniyor mu? Sözleşmesi var mı?</t>
  </si>
  <si>
    <t>Demo ortamları POC bitince temizleniyor mu?</t>
  </si>
  <si>
    <t>Demo kayıtları (ekran kaydı, katılımcı listesi) saklanıyor mu?</t>
  </si>
  <si>
    <t>Deneme (trial) hesaplarındaki veriler süre sonunda siliniyor mu?</t>
  </si>
  <si>
    <t>POC için NDA imzalanıyor mu?</t>
  </si>
  <si>
    <t>Müşteri verisiyle yapılan demoların kaydı üçüncü kişilere gösteriliyor mu?</t>
  </si>
  <si>
    <t>Etkinlik &amp; Fuar</t>
  </si>
  <si>
    <t>Fuarlarda kartvizit toplanıyor mu? Sonrasında ne yapılıyor?</t>
  </si>
  <si>
    <t>Kartvizit bilgileri CRM'e girilirken aydınlatma/ileti onayı süreci işletiliyor mu?</t>
  </si>
  <si>
    <t>Fuar organizatöründen katılımcı listesi alınıyor mu? Hukuki dayanağı?</t>
  </si>
  <si>
    <t>Etkinlik kayıt formları hangi platformda? (yurt dışı form araçları)</t>
  </si>
  <si>
    <t>Çekiliş/hediye kampanyalarında toplanan veriler nasıl işleniyor?</t>
  </si>
  <si>
    <t>Etkinlik fotoğraf/video çekimlerinde katılımcı aydınlatması yapılıyor mu?</t>
  </si>
  <si>
    <t>Badge tarama (lead scanner) uygulamaları kullanılıyor mu?</t>
  </si>
  <si>
    <t>Etkinlik sonrası toplu e-posta gönderimi İYS onayına dayanıyor mu?</t>
  </si>
  <si>
    <t>Web Formu &amp; Telefon</t>
  </si>
  <si>
    <t>Web sitesindeki iletişim/teklif formları hangi verileri topluyor?</t>
  </si>
  <si>
    <t>Form verileri nereye düşüyor? (e-posta, CRM, veri tabanı)</t>
  </si>
  <si>
    <t>Formlarda aydınlatma metni linki ve gerekli onay kutuları var mı?</t>
  </si>
  <si>
    <t>Formlarda zorunlu alanlar veri minimizasyonuna uygun mu?</t>
  </si>
  <si>
    <t>Telefonla gelen taleplerde görüşme kaydı alınıyor mu? Anons var mı?</t>
  </si>
  <si>
    <t>Çağrı merkezi hizmeti dışarıdan mı alınıyor? Sözleşmesi var mı?</t>
  </si>
  <si>
    <t>Santral sistemi arama kayıtlarını (numara, süre) ne kadar tutuyor?</t>
  </si>
  <si>
    <t>WhatsApp üzerinden müşteri iletişimi yapılıyor mu? Kurumsal API mı bireysel mi?</t>
  </si>
  <si>
    <t>Canlı destek (chat) aracı var mı? Konuşma kayıtları nerede?</t>
  </si>
  <si>
    <t>Chatbot kullanılıyor mu? Toplanan veriler ve aydınlatması?</t>
  </si>
  <si>
    <t>06-Pazarlama — Veri Toplama Formu</t>
  </si>
  <si>
    <t>Web &amp; Analitik</t>
  </si>
  <si>
    <t>Google Analytics kullanılıyor mu? Hangi sürüm (GA4)? IP anonimleştirme açık mı?</t>
  </si>
  <si>
    <t>Analytics verileri yurt dışına aktarılıyor mu? m.9 değerlendirmesi yapıldı mı?</t>
  </si>
  <si>
    <t>Google Tag Manager'da hangi etiketler aktif? Envanteri var mı?</t>
  </si>
  <si>
    <t>Site arama ve davranış verileri kişiyle eşleştiriliyor mu? (user ID takibi)</t>
  </si>
  <si>
    <t>Hotjar/Clarity gibi ısı haritası ve oturum kaydı araçları var mı? Maskeleme yapılıyor mu?</t>
  </si>
  <si>
    <t>A/B test araçları (Optimizely vb.) kullanılıyor mu?</t>
  </si>
  <si>
    <t>Web sitesi hosting'i nerede? Erişim logları kim tarafından tutuluyor?</t>
  </si>
  <si>
    <t>Alan adı ve SSL yönetimi kimde?</t>
  </si>
  <si>
    <t>Sitede üyelik/hesap sistemi var mı? Üye verileri nerede?</t>
  </si>
  <si>
    <t>Site içi arama sorguları loglanıyor mu?</t>
  </si>
  <si>
    <t>Blog/bülten yorumlarında kişisel veri işleniyor mu?</t>
  </si>
  <si>
    <t>Web sitesi birden fazla dil/ülkeye mi hizmet ediyor? (GDPR kapsam tespiti)</t>
  </si>
  <si>
    <t>Çerezler</t>
  </si>
  <si>
    <t>Çerez banner'ı var mı? Onay yönetim platformu (CMP) kullanılıyor mu?</t>
  </si>
  <si>
    <t>Çerez envanteri/tarama yapıldı mı? (zorunlu, işlevsel, analitik, pazarlama ayrımı)</t>
  </si>
  <si>
    <t>Pazarlama çerezleri onay ALINMADAN yükleniyor mu? (teknik kontrol - Kurul rehberi)</t>
  </si>
  <si>
    <t>Çerez politikası yayında mı? Güncel mi?</t>
  </si>
  <si>
    <t>Onay reddedildiğinde çerezler gerçekten engelleniyor mu? Test edildi mi?</t>
  </si>
  <si>
    <t>Çerez onay kayıtları (kim, ne zaman, neye onay verdi) saklanıyor mu?</t>
  </si>
  <si>
    <t>Üçüncü taraf çerezleri hangi alan adlarından geliyor? Liste var mı?</t>
  </si>
  <si>
    <t>Mobil uygulamada izleme izinleri (ATT/Android) nasıl yönetiliyor?</t>
  </si>
  <si>
    <t>Parmak izi (fingerprinting) tekniği kullanılıyor mu?</t>
  </si>
  <si>
    <t>Çerez onayı ile İYS/e-posta onayı ayrışıyor mu? (farklı hukuki rejimler)</t>
  </si>
  <si>
    <t>Piksel &amp; Remarketing</t>
  </si>
  <si>
    <t>Meta Pixel kurulu mu? Hangi olaylar (event) gönderiliyor?</t>
  </si>
  <si>
    <t>Google Ads remarketing/dönüşüm izleme var mı?</t>
  </si>
  <si>
    <t>LinkedIn Insight Tag, TikTok Pixel, X Pixel gibi diğer pikseller var mı?</t>
  </si>
  <si>
    <t>Gelişmiş eşleştirme (advanced matching - hash'li e-posta gönderimi) aktif mi?</t>
  </si>
  <si>
    <t>Müşteri listeleri (custom audience) reklam platformlarına yükleniyor mu? Hukuki dayanağı?</t>
  </si>
  <si>
    <t>Benzer hedef kitle (lookalike) oluşturuluyor mu?</t>
  </si>
  <si>
    <t>Reklam platformlarıyla veri paylaşımının aydınlatma metninde karşılığı var mı?</t>
  </si>
  <si>
    <t>Server-side tracking (Conversions API) kullanılıyor mu?</t>
  </si>
  <si>
    <t>Reklam ajansı piksel/hesaplara erişiyor mu? Sözleşmesi var mı?</t>
  </si>
  <si>
    <t>Yurtdışı aktarım açısından piksel veri akışları değerlendirildi mi?</t>
  </si>
  <si>
    <t>E-posta Pazarlama</t>
  </si>
  <si>
    <t>Toplu e-posta hangi platformdan gönderiliyor? (Mailchimp, SendGrid, yerli araç...)</t>
  </si>
  <si>
    <t>Gönderim listeleri nasıl oluşturuldu? Onay kanıtları var mı?</t>
  </si>
  <si>
    <t>İYS entegrasyonu yapılmış mı? Onay/ret senkronizasyonu çalışıyor mu?</t>
  </si>
  <si>
    <t>Abonelikten çıkma (opt-out) linki her gönderimde var mı? Talepler işleniyor mu?</t>
  </si>
  <si>
    <t>Açılma/tıklama takibi yapılıyor mu? Aydınlatmada belirtiliyor mu?</t>
  </si>
  <si>
    <t>Segmentasyon/profilleme yapılıyor mu? Hangi kriterlerle?</t>
  </si>
  <si>
    <t>E-posta platformu verileri hangi ülkede tutuyor?</t>
  </si>
  <si>
    <t>Eski/etkileşimsiz aboneler siliniyor mu?</t>
  </si>
  <si>
    <t>B2B ve B2C gönderim rejimleri ayrıştırılıyor mu? (ETK m.6 istisnası)</t>
  </si>
  <si>
    <t>Otomatik akışlar (hoş geldin, sepet hatırlatma) hangi verileri kullanıyor?</t>
  </si>
  <si>
    <t>SMS &amp; WhatsApp</t>
  </si>
  <si>
    <t>SMS gönderimi hangi firma üzerinden yapılıyor? İYS uyumlu mu?</t>
  </si>
  <si>
    <t>SMS onayları nasıl toplanıyor ve kanıtlanıyor?</t>
  </si>
  <si>
    <t>WhatsApp Business API kullanılıyor mu? Onay süreci nasıl?</t>
  </si>
  <si>
    <t>WhatsApp verilerinin Meta'ya aktarımı değerlendirildi mi?</t>
  </si>
  <si>
    <t>Kişisel telefonlardan müşterilere WhatsApp mesajı atılıyor mu? (yaygın risk)</t>
  </si>
  <si>
    <t>Arama kampanyaları (telemarketing) yapılıyor mu? Aranmama talepleri yönetiliyor mu?</t>
  </si>
  <si>
    <t>Kısa numara/keyword kampanyaları var mı?</t>
  </si>
  <si>
    <t>Bayram/kutlama mesajları hangi listelere gidiyor? Onaylı mı?</t>
  </si>
  <si>
    <t>Pazarlama Araçları</t>
  </si>
  <si>
    <t>HubSpot/Marketo gibi otomasyon platformu var mı? Verisi nerede?</t>
  </si>
  <si>
    <t>Platformdaki kontak sayısı ve veri alanları neler?</t>
  </si>
  <si>
    <t>Form/landing page araçları (Typeform, Unbounce...) kullanılıyor mu?</t>
  </si>
  <si>
    <t>Webinar platformları (Zoom Webinar, GoToWebinar...) katılımcı verisi nasıl işliyor?</t>
  </si>
  <si>
    <t>Anket araçları (SurveyMonkey, Google Forms...) hangi verileri topluyor?</t>
  </si>
  <si>
    <t>URL kısaltıcı/QR kod servisleri tıklama verisi topluyor mu?</t>
  </si>
  <si>
    <t>Influencer/ortaklık programlarında kişisel veri paylaşımı var mı?</t>
  </si>
  <si>
    <t>Pazarlama araçları arasında otomatik veri senkronizasyonu (Zapier vb.) var mı?</t>
  </si>
  <si>
    <t>Ajanslara müşteri/lead listesi paylaşılıyor mu? Sözleşme ve gizlilik hükümleri var mı?</t>
  </si>
  <si>
    <t>Basın bültenlerinde/başarı hikâyelerinde müşteri kişi bilgisi kullanılıyor mu? İzinli mi?</t>
  </si>
  <si>
    <t>Etkinlik &amp; Webinar</t>
  </si>
  <si>
    <t>Webinar kayıtlarında katılımcı adları/soruları görünüyor mu? Paylaşım öncesi ediliyor mu?</t>
  </si>
  <si>
    <t>Etkinlik kayıt platformlarında toplanan veriler sonrasında nasıl kullanılıyor?</t>
  </si>
  <si>
    <t>Ödül/çekilişlerde MASAK-Milli Piyango bildirimleri ve veri işleme uyumu sağlanıyor mu?</t>
  </si>
  <si>
    <t>Sponsorlarla katılımcı listesi paylaşılıyor mu? Katılımcı onayı var mı?</t>
  </si>
  <si>
    <t>Etkinlik uygulamaları (mobil app, networking aracı) kişisel veri işliyor mu?</t>
  </si>
  <si>
    <t>07-Sosyal Medya — Veri Toplama Formu</t>
  </si>
  <si>
    <t>Hesap Yönetimi</t>
  </si>
  <si>
    <t>Hangi platformlarda kurumsal hesap var? (Instagram, LinkedIn, YouTube, TikTok, X...)</t>
  </si>
  <si>
    <t>Hesapların erişim bilgileri kimde? Ortak parola mı, rol bazlı erişim mi?</t>
  </si>
  <si>
    <t>Sosyal medya yönetim aracı (Hootsuite, Buffer...) kullanılıyor mu?</t>
  </si>
  <si>
    <t>Ayrılan çalışanların hesap erişimleri kapatılıyor mu?</t>
  </si>
  <si>
    <t>Hesaplarda 2FA aktif mi?</t>
  </si>
  <si>
    <t>Platform analitiklerinde (takipçi verileri) kişisel veri işleniyor mu?</t>
  </si>
  <si>
    <t>Sosyal medya politikası (kurumsal + çalışan kullanımı) var mı?</t>
  </si>
  <si>
    <t>Kriz yönetimi/itibar takibi aracı (social listening) kullanılıyor mu?</t>
  </si>
  <si>
    <t>İçerik &amp; Görsel</t>
  </si>
  <si>
    <t>Paylaşılan içeriklerde çalışan/müşteri/üçüncü kişi görüntüleri var mı?</t>
  </si>
  <si>
    <t>Görsel kullanımı için izin/muvafakat formu alınıyor mu?</t>
  </si>
  <si>
    <t>Stok görsel lisansları yönetiliyor mu?</t>
  </si>
  <si>
    <t>Müşteri logolarının/isimlerinin kullanımı sözleşmeyle izinli mi?</t>
  </si>
  <si>
    <t>Yorum ve mesajlardaki kişisel veriler (şikâyette telefon yazan müşteri) nasıl yönetiliyor?</t>
  </si>
  <si>
    <t>İçerik arşivi nerede tutuluyor?</t>
  </si>
  <si>
    <t>UGC (kullanıcı içeriği) repost edilirken izin alınıyor mu?</t>
  </si>
  <si>
    <t>Çocukların görüntüleri kullanılıyor mu? (kesinlikle veli rızası gerekir)</t>
  </si>
  <si>
    <t>Yapay zekâ ile üretilen görsellerde gerçek kişi benzerliği riski değerlendiriliyor mu?</t>
  </si>
  <si>
    <t>Eski içeriklerdeki kişilerin silme talepleri nasıl karşılanıyor?</t>
  </si>
  <si>
    <t>Çalışan Görselleri</t>
  </si>
  <si>
    <t>Çalışan fotoğraflarının web sitesi/sosyal medyada kullanımı için açık rıza alınıyor mu?</t>
  </si>
  <si>
    <t>Rıza geri çekildiğinde içerik kaldırma süreci işliyor mu?</t>
  </si>
  <si>
    <t>İşe alım tanıtımlarında (employer branding) çalışan hikâyeleri izinli mi?</t>
  </si>
  <si>
    <t>Şirket etkinliklerinde (yılbaşı, piknik) çekilen fotoğrafların paylaşım kuralı var mı?</t>
  </si>
  <si>
    <t>Ayrılan çalışanların görselleri yayından kaldırılıyor mu?</t>
  </si>
  <si>
    <t>Çalışanların kendi hesaplarından şirket içi görüntü paylaşması düzenlenmiş mi?</t>
  </si>
  <si>
    <t>Etkinlik Çekimleri</t>
  </si>
  <si>
    <t>Etkinliklerde fotoğraf/video çekileceği önceden duyuruluyor mu? (aydınlatma)</t>
  </si>
  <si>
    <t>Katılımcılara çekim alanı dışında kalma imkânı sunuluyor mu?</t>
  </si>
  <si>
    <t>Canlı yayınlarda katılımcı görüntüleri işleniyor mu?</t>
  </si>
  <si>
    <t>Çekim yapan ajans/fotoğrafçıyla veri işleme sözleşmesi var mı?</t>
  </si>
  <si>
    <t>Ham çekim arşivleri kimde kalıyor? Ne kadar saklanıyor?</t>
  </si>
  <si>
    <t>Ajanslar</t>
  </si>
  <si>
    <t>Sosyal medya ajansı var mı? Hangi hesaplara/verilere erişiyor?</t>
  </si>
  <si>
    <t>Ajansla NDA ve veri işleme sözleşmesi (m.12) imzalanmış mı?</t>
  </si>
  <si>
    <t>Ajans değişiminde erişimler devri/iptali nasıl yapılıyor?</t>
  </si>
  <si>
    <t>Ajans alt yüklenici (freelancer) kullanıyor mu? Kontrol ediliyor mu?</t>
  </si>
  <si>
    <t>Reklam hesaplarının (Meta Business, Google Ads) sahipliği şirkette mi ajansta mı?</t>
  </si>
  <si>
    <t>Ajansın topladığı performans raporlarında kişisel veri var mı?</t>
  </si>
  <si>
    <t>DM &amp; Mesajlaşma</t>
  </si>
  <si>
    <t>DM üzerinden müşteri talepleri alınıyor mu? Nasıl kayıt altına alınıyor?</t>
  </si>
  <si>
    <t>DM'lerde kimlik/sipariş bilgisi istendiği oluyor mu? Güvenli kanal sunuluyor mu?</t>
  </si>
  <si>
    <t>Sosyal medyadan gelen veri sahibi başvuruları (silme talebi) tanınıp işleniyor mu?</t>
  </si>
  <si>
    <t>Chatbot/otomatik yanıt DM'lerde kullanılıyor mu?</t>
  </si>
  <si>
    <t>Şikâyet platformları (Şikâyetvar vb.) yanıtlarında kişisel veri ifşası kontrol ediliyor mu?</t>
  </si>
  <si>
    <t>08-Muhasebe — Veri Toplama Formu</t>
  </si>
  <si>
    <t>Fatura &amp; e-Belge</t>
  </si>
  <si>
    <t>e-Fatura/e-Arşiv entegratörü hangisi? Sözleşmesi var mı?</t>
  </si>
  <si>
    <t>Faturalarda hangi kişisel veriler yer alıyor? (ad, T.C. no, adres)</t>
  </si>
  <si>
    <t>Bireysel müşteri faturalarında T.C. kimlik no işleniyor mu? (VUK gereği)</t>
  </si>
  <si>
    <t>e-İrsaliye kullanılıyor mu? Teslim alan kişi verileri işleniyor mu?</t>
  </si>
  <si>
    <t>Fatura verileri entegratörde ne kadar saklanıyor?</t>
  </si>
  <si>
    <t>Kağıt fatura/fiş arşivi var mı? Nerede, nasıl korunuyor?</t>
  </si>
  <si>
    <t>Gider pusulası/serbest meslek makbuzunda kişisel veri işleme süreçleri neler?</t>
  </si>
  <si>
    <t>Fatura itiraz/iade süreçlerinde ek kişisel veri toplanıyor mu?</t>
  </si>
  <si>
    <t>Muhasebe belgeleri VUK gereği 5 yıl / TTK gereği 10 yıl saklama kuralına bağlanmış mı?</t>
  </si>
  <si>
    <t>e-Defter beratları ve saklama hizmeti kimden alınıyor?</t>
  </si>
  <si>
    <t>Banka &amp; Ödeme</t>
  </si>
  <si>
    <t>Hangi bankalarla çalışılıyor? İnternet bankacılığı yetkilileri kimler?</t>
  </si>
  <si>
    <t>Maaş ödeme listeleri bankaya nasıl iletiliyor? (dosya formatı, kanal)</t>
  </si>
  <si>
    <t>Müşteri/tedarikçi IBAN bilgileri nerede saklanıyor?</t>
  </si>
  <si>
    <t>Sanal POS/ödeme kuruluşu (iyzico, PayTR, Stripe...) kullanılıyor mu? Kart verisi şirkete değiyor mu?</t>
  </si>
  <si>
    <t>PCI-DSS kapsaması değerlendirildi mi?</t>
  </si>
  <si>
    <t>Çek/senet işlemlerinde kefil ve borçlu verileri nasıl işleniyor?</t>
  </si>
  <si>
    <t>Banka ekstrelerinde görünen üçüncü kişi verileri (açıklamadaki isimler) dikkate alınıyor mu?</t>
  </si>
  <si>
    <t>Ödeme talimatlarında çift onay (maker-checker) var mı?</t>
  </si>
  <si>
    <t>Bordro Entegrasyon</t>
  </si>
  <si>
    <t>Bordro-muhasebe entegrasyonunda maaş verilerine kimler erişiyor?</t>
  </si>
  <si>
    <t>SMMM/YMM ile paylaşılan personel verileri neler? Sözleşmesi var mı?</t>
  </si>
  <si>
    <t>Muhtasar ve prim hizmet beyannamesi süreçlerinde veri akışı nasıl?</t>
  </si>
  <si>
    <t>İcra dosyaları ve maaş haczi yazışmaları nasıl saklanıyor?</t>
  </si>
  <si>
    <t>Masraf/harcama beyanlarında (fiş, seyahat) kişisel veri işleniyor mu?</t>
  </si>
  <si>
    <t>Harcama yönetim uygulaması kullanılıyor mu? Verisi nerede?</t>
  </si>
  <si>
    <t>Cari &amp; Tedarikçi</t>
  </si>
  <si>
    <t>Cari hesap kartlarında gerçek kişi verileri (şahıs firmaları) var mı?</t>
  </si>
  <si>
    <t>Tedarikçi yetkililerinin iletişim bilgileri nerede tutuluyor?</t>
  </si>
  <si>
    <t>Müşteri risk/limit değerlendirmesinde hangi veriler kullanılıyor?</t>
  </si>
  <si>
    <t>Findeks/KKB sorgulaması yapılıyor mu? Hangi dayanakla?</t>
  </si>
  <si>
    <t>Tahsilat takibinde (arama, ihtar) işlenen veriler ve kayıtları neler?</t>
  </si>
  <si>
    <t>Avukata devredilen alacak dosyalarında hangi veriler paylaşılıyor?</t>
  </si>
  <si>
    <t>Mutabakat yazışmaları hangi kanaldan yapılıyor?</t>
  </si>
  <si>
    <t>Şahıs şirketi tedarikçilerin T.C. no/vergi no bilgileri korunuyor mu?</t>
  </si>
  <si>
    <t>Vergi &amp; Bildirim</t>
  </si>
  <si>
    <t>GİB, SGK, TÜİK gibi kurumlara yapılan bildirimlerde hangi kişisel veriler gidiyor?</t>
  </si>
  <si>
    <t>Ba/Bs formlarında gerçek kişi bilgileri bildiriliyor mu?</t>
  </si>
  <si>
    <t>Vergi incelemelerinde talep edilen kişisel veriler nasıl paylaşılıyor?</t>
  </si>
  <si>
    <t>MASAK yükümlülükleri (şüpheli işlem bildirimi) kapsamında süreç var mı?</t>
  </si>
  <si>
    <t>Bağımsız denetim firmasına aktarılan kişisel veriler neler? Sözleşmesi var mı?</t>
  </si>
  <si>
    <t>Teşvik/hibe başvurularında personel listeleri paylaşılıyor mu?</t>
  </si>
  <si>
    <t>Arşiv &amp; Saklama</t>
  </si>
  <si>
    <t>Muhasebe arşivi (fiziki) nerede? Erişim kontrolü var mı?</t>
  </si>
  <si>
    <t>Saklama süresi dolan belgeler imha ediliyor mu? Tutanaklı mı?</t>
  </si>
  <si>
    <t>Dış arşiv firması kullanılıyor mu? Sözleşmesi var mı?</t>
  </si>
  <si>
    <t>Eski dönem verileri (10+ yıl) hâlâ sistemlerde duruyor mu?</t>
  </si>
  <si>
    <t>Tasfiye edilen şirketlere/devirlere ait kişisel veriler ne durumda?</t>
  </si>
  <si>
    <t>Muhasebe Yazılımı</t>
  </si>
  <si>
    <t>Muhasebe/ERP yazılımı hangisi? (Logo, Netsis, Mikro, SAP...) Nerede barındırılıyor?</t>
  </si>
  <si>
    <t>Yazılım destek firması uzaktan bağlanıyor mu? Sözleşme ve log var mı?</t>
  </si>
  <si>
    <t>ERP'de kullanıcı bazlı yetkilendirme ve işlem logu var mı?</t>
  </si>
  <si>
    <t>ERP verisi raporlama araçlarına (BI, Excel) aktarılıyor mu? Kontrolü var mı?</t>
  </si>
  <si>
    <t>ERP yedekleri BT yedekleme politikasına dahil mi?</t>
  </si>
  <si>
    <t>09-Satın Alma — Veri Toplama Formu</t>
  </si>
  <si>
    <t>Tedarikçi Yönetimi</t>
  </si>
  <si>
    <t>Tedarikçi listesi nerede tutuluyor? Kaç aktif tedarikçi var?</t>
  </si>
  <si>
    <t>Tedarikçi kayıt/onboarding sürecinde hangi veriler toplanıyor?</t>
  </si>
  <si>
    <t>Tedarikçi değerlendirmesinde kişisel veri (yetkili kişi performansı) işleniyor mu?</t>
  </si>
  <si>
    <t>Kişisel veri işleyen tedarikçiler (veri işleyenler) ayrıca işaretleniyor mu?</t>
  </si>
  <si>
    <t>Tedarikçi seçiminde veri güvenliği kriterleri soruluyor mu? (anket, denetim)</t>
  </si>
  <si>
    <t>Alt yüklenici kullanımı sözleşmelerde düzenleniyor mu?</t>
  </si>
  <si>
    <t>Tedarikçi çalışanlarının verileri (saha personeli kimlikleri) işleniyor mu?</t>
  </si>
  <si>
    <t>Tek seferlik/küçük tedarikçilerde de sözleşme süreci işletiliyor mu?</t>
  </si>
  <si>
    <t>Sözleşme &amp; NDA/DPA</t>
  </si>
  <si>
    <t>Standart tedarikçi sözleşmesinde KVKK maddesi var mı?</t>
  </si>
  <si>
    <t>Veri işleyen tedarikçilerle ayrı DPA/veri işleme protokolü imzalanıyor mu?</t>
  </si>
  <si>
    <t>NDA'lar tek taraflı mı karşılıklı mı? Standart şablon var mı?</t>
  </si>
  <si>
    <t>Mevcut tedarikçilerden kaçıyla DPA imzalı? Eksik listesi var mı?</t>
  </si>
  <si>
    <t>Tedarikçinin veri ihlalini bildirme yükümlülüğü sözleşmede var mı?</t>
  </si>
  <si>
    <t>Sözleşme sonunda veri iade/silme hükmü var mı?</t>
  </si>
  <si>
    <t>Denetim hakkı (audit right) hükümleri var mı?</t>
  </si>
  <si>
    <t>Yurt dışı tedarikçilerle aktarım mekanizması (standart sözleşme) kurulmuş mu?</t>
  </si>
  <si>
    <t>Sözleşmeler nerede arşivleniyor? Takip sistemi var mı?</t>
  </si>
  <si>
    <t>Sözleşme yenileme/fesih tarihleri izleniyor mu?</t>
  </si>
  <si>
    <t>Veri Paylaşımı</t>
  </si>
  <si>
    <t>Hangi tedarikçilere düzenli kişisel veri aktarılıyor? Liste çıkarın.</t>
  </si>
  <si>
    <t>Veri aktarım yöntemleri neler? (API, SFTP, e-posta, portal)</t>
  </si>
  <si>
    <t>E-posta ile tedarikçiye veri gönderiminde şifreleme kullanılıyor mu?</t>
  </si>
  <si>
    <t>Tedarikçi portallarına yüklenen dosyalarda kişisel veri var mı?</t>
  </si>
  <si>
    <t>Tedarikçinin şirket sistemlerine erişimi var mı? (VPN, hesap)</t>
  </si>
  <si>
    <t>Bakım/destek için tedarikçiye verilen erişimler süreli ve loglu mu?</t>
  </si>
  <si>
    <t>Tedarikçiden şirkete gelen kişisel veriler (liste, rapor) var mı?</t>
  </si>
  <si>
    <t>Tedarikçi değişiminde eski tedarikçideki veriler geri alınıyor/sildiriliyor mu?</t>
  </si>
  <si>
    <t>Kargo &amp; Kurye</t>
  </si>
  <si>
    <t>Hangi kargo firmalarıyla çalışılıyor? Sözleşme var mı?</t>
  </si>
  <si>
    <t>Kargoya aktarılan veriler neler? (ad, adres, telefon)</t>
  </si>
  <si>
    <t>Kargo entegrasyonu API ile mi manuel mi?</t>
  </si>
  <si>
    <t>Teslimat bilgileri (imza, fotoğraf) kargo firmasında ne kadar kalıyor?</t>
  </si>
  <si>
    <t>Moto kurye/son km teslimat uygulamaları kullanılıyor mu?</t>
  </si>
  <si>
    <t>İade süreçlerinde müşteri verisi nasıl işleniyor?</t>
  </si>
  <si>
    <t>Lisans &amp; Bulut Alımı</t>
  </si>
  <si>
    <t>Yazılım lisans envanteri var mı? Kim yönetiyor?</t>
  </si>
  <si>
    <t>Yeni SaaS/yazılım alımında veri koruma değerlendirmesi (vendor assessment) yapılıyor mu?</t>
  </si>
  <si>
    <t>Departmanların BT onayı olmadan satın aldığı araçlar var mı? (gölge BT)</t>
  </si>
  <si>
    <t>Deneme sürümü kullanımlarında şirket verisi yükleniyor mu?</t>
  </si>
  <si>
    <t>Lisans sözleşmelerinde veri işleme/telemetri hükümleri inceleniyor mu?</t>
  </si>
  <si>
    <t>Ücretsiz araçların (free tier) veri politikaları kontrol ediliyor mu?</t>
  </si>
  <si>
    <t>Satın alma taleplerinde kişisel veri işleyecek sistemler işaretleniyor mu?</t>
  </si>
  <si>
    <t>Donanım alımlarında (ikinci el dahil) veri güvenliği kontrolü var mı?</t>
  </si>
  <si>
    <t>10-Hukuk — Veri Toplama Formu</t>
  </si>
  <si>
    <t>Sözleşme Yönetimi</t>
  </si>
  <si>
    <t>Sözleşmeler nerede saklanıyor? (CLM yazılımı, klasör, fiziki)</t>
  </si>
  <si>
    <t>Sözleşme takip listesi/veri tabanı var mı? Hangi bilgiler tutuluyor?</t>
  </si>
  <si>
    <t>Sözleşmelerdeki gerçek kişi verileri (imza yetkilileri, kefiller) envanterde mi?</t>
  </si>
  <si>
    <t>Sözleşme şablonlarında KVKK/veri koruma maddeleri standart mı? Kim güncelliyor?</t>
  </si>
  <si>
    <t>İmza süreçleri ıslak mı, e-imza mı, DocuSign benzeri mi?</t>
  </si>
  <si>
    <t>Vekâletnameler ve imza sirküleri nasıl arşivleniyor?</t>
  </si>
  <si>
    <t>Sona eren sözleşmeler ve ekleri ne kadar saklanıyor?</t>
  </si>
  <si>
    <t>Sözleşmelere erişim yetkisi kimlerde?</t>
  </si>
  <si>
    <t>Dış hukuk bürolarıyla dosya paylaşımı nasıl yapılıyor? (e-posta, portal)</t>
  </si>
  <si>
    <t>Hukuk departmanı yazışmaları için ayrı gizlilik seviyesi tanımlı mı?</t>
  </si>
  <si>
    <t>NDA &amp; DPA</t>
  </si>
  <si>
    <t>Şirketin standart NDA şablonu var mı? Karşı taraf NDA'ları kim inceliyor?</t>
  </si>
  <si>
    <t>İmzalı NDA'ların kaydı ve süre takibi yapılıyor mu?</t>
  </si>
  <si>
    <t>Veri işleme sözleşmesi (DPA) şablonu var mı? (hem veri işleyen hem veri sorumlusu sıfatıyla)</t>
  </si>
  <si>
    <t>Müşterilerden gelen DPA taleplerinde standart pozisyon belirli mi?</t>
  </si>
  <si>
    <t>Ortak veri sorumluluğu (joint controller) durumları tespit edilmiş mi?</t>
  </si>
  <si>
    <t>Yurt dışı aktarım için standart sözleşme/taahhütname süreci tanımlı mı?</t>
  </si>
  <si>
    <t>Kurul'a yapılan standart sözleşme bildirimleri kayıt altında mı?</t>
  </si>
  <si>
    <t>M&amp;A/yatırım görüşmelerindeki NDA'larda kişisel veri hükümleri var mı?</t>
  </si>
  <si>
    <t>Uyuşmazlık &amp; Dava</t>
  </si>
  <si>
    <t>Devam eden davalar var mı? Dava dosyalarında hangi kişisel veriler işleniyor?</t>
  </si>
  <si>
    <t>UYAP ve e-Tebligat süreçlerini kim yönetiyor?</t>
  </si>
  <si>
    <t>Dava dosyaları (fiziki/dijital) nasıl saklanıyor? Erişim kimde?</t>
  </si>
  <si>
    <t>Tanık/bilirkişi bilgileri nasıl işleniyor?</t>
  </si>
  <si>
    <t>İş davalarında eski çalışan verileri hangi dayanakla kullanılıyor? (m.5/2-e)</t>
  </si>
  <si>
    <t>Delil amaçlı e-posta/log incelemeleri hangi prosedürle yapılıyor?</t>
  </si>
  <si>
    <t>Sonuçlanan dava dosyaları ne kadar saklanıyor?</t>
  </si>
  <si>
    <t>Sigorta şirketlerine (hukuki koruma) aktarılan dosya verileri var mı?</t>
  </si>
  <si>
    <t>Arabuluculuk &amp; İcra</t>
  </si>
  <si>
    <t>Arabuluculuk süreçlerindeki tutanak ve kişisel veriler nasıl saklanıyor?</t>
  </si>
  <si>
    <t>İcra takiplerinde borçlu verileri nasıl işleniyor ve paylaşılıyor?</t>
  </si>
  <si>
    <t>Alacak tahsili için dış büro/varlık yönetim şirketi kullanılıyor mu?</t>
  </si>
  <si>
    <t>Noter işlemlerinde işlenen veriler kayıt altında mı?</t>
  </si>
  <si>
    <t>İhtarname süreçlerinde muhatap verileri nasıl yönetiliyor?</t>
  </si>
  <si>
    <t>KVKK Süreçleri</t>
  </si>
  <si>
    <t>İlgili kişi başvuruları (m.11/m.13) için kanal ve prosedür tanımlı mı?</t>
  </si>
  <si>
    <t>Bugüne kadar gelen başvurular ve yanıtları kayıt altında mı? (30 gün süre takibi)</t>
  </si>
  <si>
    <t>Veri ihlali müdahale planında hukukun rolü tanımlı mı?</t>
  </si>
  <si>
    <t>Aydınlatma metinleri envanteri (hangi süreç için hangi metin) var mı?</t>
  </si>
  <si>
    <t>Açık rıza metinleri ve rıza kayıtları nasıl saklanıyor?</t>
  </si>
  <si>
    <t>Saklama ve imha politikası yürürlükte mi? Periyodik imha yapılıyor mu?</t>
  </si>
  <si>
    <t>Kurul kararları ve mevzuat değişiklikleri nasıl takip ediliyor?</t>
  </si>
  <si>
    <t>Şirketin veri sorumlusu/veri işleyen sıfatları ürün-hizmet bazında netleştirilmiş mi?</t>
  </si>
  <si>
    <t>Grup şirketleri için ayrı VERBİS kayıtları gerekli mi? Değerlendirildi mi?</t>
  </si>
  <si>
    <t>11-Yönetim — Veri Toplama Formu</t>
  </si>
  <si>
    <t>YK &amp; Kararlar</t>
  </si>
  <si>
    <t>Yönetim kurulu üyelerinin hangi kişisel verileri işleniyor? (kimlik, adres, imza)</t>
  </si>
  <si>
    <t>YK karar defterleri ve toplantı tutanakları nerede saklanıyor?</t>
  </si>
  <si>
    <t>YK üyelerine ait veriler ticaret sicili dışında kimlerle paylaşılıyor?</t>
  </si>
  <si>
    <t>YK iletişimi hangi kanaldan yapılıyor? (kişisel e-posta riski)</t>
  </si>
  <si>
    <t>Board portal/karar yönetim yazılımı kullanılıyor mu?</t>
  </si>
  <si>
    <t>Yönetici sorumluluk sigortası (D&amp;O) kapsamında sigortacıya veri gidiyor mu?</t>
  </si>
  <si>
    <t>Bağımsız YK üyelerinin verileri nasıl yönetiliyor?</t>
  </si>
  <si>
    <t>Genel kurul hazirun cetvellerindeki pay sahibi verileri nasıl saklanıyor?</t>
  </si>
  <si>
    <t>Ortaklar &amp; Hisse</t>
  </si>
  <si>
    <t>Pay defterindeki ortak bilgileri kimler tarafından görülebiliyor?</t>
  </si>
  <si>
    <t>Hissedar sözleşmelerindeki kişisel veriler nasıl korunuyor?</t>
  </si>
  <si>
    <t>Kâr payı ödemelerinde ortak banka bilgileri nasıl işleniyor?</t>
  </si>
  <si>
    <t>Hisse devirlerinde alıcı/satıcı verileri hangi taraflara gidiyor?</t>
  </si>
  <si>
    <t>Çalışan hisse opsiyon planı (ESOP) var mı? Hangi veriler işleniyor?</t>
  </si>
  <si>
    <t>Nihai gerçek faydalanıcı bildirimleri (GİB) yapılıyor mu?</t>
  </si>
  <si>
    <t>Yatırımcı &amp; DD</t>
  </si>
  <si>
    <t>Yatırım turu süreci var mı/planlanıyor mu? Data room'da kişisel veri paylaşılıyor mu?</t>
  </si>
  <si>
    <t>Data room'da çalışan listesi, bordro, sözleşmeler paylaşılırken maskeleme yapılıyor mu?</t>
  </si>
  <si>
    <t>Yatırımcılarla NDA imzalanıyor mu?</t>
  </si>
  <si>
    <t>Due diligence taleplerinde KVKK filtresi uygulanıyor mu?</t>
  </si>
  <si>
    <t>Yatırımcı raporlamalarında (aylık/çeyreklik) kişisel veri gidiyor mu?</t>
  </si>
  <si>
    <t>Potansiyel alıcı/yatırımcıya müşteri listesi gösteriliyor mu? Hangi dayanakla?</t>
  </si>
  <si>
    <t>M&amp;A senaryosunda veri aktarımı için hukuki değerlendirme yapıldı mı?</t>
  </si>
  <si>
    <t>Yabancı yatırımcı varsa veri paylaşımları yurt dışı aktarım rejimine uygun mu?</t>
  </si>
  <si>
    <t>Grup İçi Paylaşım</t>
  </si>
  <si>
    <t>Grup şirketleriyle hangi kişisel veriler paylaşılıyor? (İK, müşteri, finans)</t>
  </si>
  <si>
    <t>Grup içi paylaşımın hukuki dayanağı belirlenmiş mi? (grup şirketi ayrı veri sorumlusudur)</t>
  </si>
  <si>
    <t>Ortak kullanılan sistemlerde (ERP, İK) veri sorumluluğu sınırları net mi?</t>
  </si>
  <si>
    <t>Yurt dışı grup şirketine aktarımda m.9 mekanizması (BCR, standart sözleşme) var mı?</t>
  </si>
  <si>
    <t>Grup raporlamalarında çalışan/müşteri verileri anonimleştiriliyor mu?</t>
  </si>
  <si>
    <t>Grup şirketleri arası personel geçişlerinde özlük verisi devri nasıl yapılıyor?</t>
  </si>
  <si>
    <t>Konsolidasyon için mali veri paylaşımında kişisel veri ayıklanıyor mu?</t>
  </si>
  <si>
    <t>Kurumsal Belgeler</t>
  </si>
  <si>
    <t>İmza sirküleri ve yetki belgeleri kimlerle paylaşılıyor? (bankalar, tedarikçiler)</t>
  </si>
  <si>
    <t>Şirket ana sözleşme değişikliklerinde işlenen kişisel veriler kayıtlı mı?</t>
  </si>
  <si>
    <t>Ticaret sicil işlemlerini yürüten dış danışmanla veri paylaşımı sözleşmeli mi?</t>
  </si>
  <si>
    <t>Kurumsal kredilerde ortak/yönetici kefaletlerine ait veriler nasıl işleniyor?</t>
  </si>
  <si>
    <t>Kamu kurumlarından gelen bilgi/belge taleplerine yanıt prosedürü var mı?</t>
  </si>
  <si>
    <t>Şirket değerleme raporlarında kişisel veri kullanılıyor mu?</t>
  </si>
  <si>
    <t>12-Güvenlik — Veri Toplama Formu</t>
  </si>
  <si>
    <t>Kamera/CCTV</t>
  </si>
  <si>
    <t>Kaç kamera var? Yerleşim planı (kapsama alanları) mevcut mu?</t>
  </si>
  <si>
    <t>Kameralar hangi alanları görüyor? (ortak alan, çalışma alanı, dinlenme - yasak alan kontrolü)</t>
  </si>
  <si>
    <t>Kamera kayıtları ne kadar süre saklanıyor? Otomatik siliniyor mu?</t>
  </si>
  <si>
    <t>Kayıtlara kimler erişebiliyor? Erişim loglanıyor mu?</t>
  </si>
  <si>
    <t>Kamera aydınlatma metni ve uyarı levhaları asılı mı? (katmanlı aydınlatma)</t>
  </si>
  <si>
    <t>Kayıt sistemi (NVR/DVR) nerede? İnternete açık mı? Parolası değiştirilmiş mi?</t>
  </si>
  <si>
    <t>Bulut tabanlı kamera sistemi mi? Görüntüler yurt dışına gidiyor mu?</t>
  </si>
  <si>
    <t>Ses kaydı alınıyor mu? (orantılılık sorunu - kural olarak alınmamalı)</t>
  </si>
  <si>
    <t>Kayıt paylaşımı taleplerinde (kolluk, mahkeme, çalışan) prosedür var mı?</t>
  </si>
  <si>
    <t>Kameraların bakımını yapan firma kayıtlara erişebiliyor mu? Sözleşmesi var mı?</t>
  </si>
  <si>
    <t>Yüz tanıma veya plaka tanıma (ANPR) özelliği kullanılıyor mu? (m.6 riski)</t>
  </si>
  <si>
    <t>Kamera görüntüleri VERBİS'te 'fiziksel mekân güvenliği' kategorisinde beyan edilmiş mi?</t>
  </si>
  <si>
    <t>Kartlı Geçiş</t>
  </si>
  <si>
    <t>Kartlı geçiş/turnike sistemi hangi firmadan? Veriler nerede tutuluyor?</t>
  </si>
  <si>
    <t>Geçiş kayıtları ne kadar saklanıyor?</t>
  </si>
  <si>
    <t>Geçiş verileri mesai kontrolü için de kullanılıyor mu? (amaç bağı - aydınlatmada belirtilmeli)</t>
  </si>
  <si>
    <t>Biyometrik geçiş (parmak izi, yüz, avuç içi) var mı? Açık rıza alınmış mı? Alternatif sunuluyor mu?</t>
  </si>
  <si>
    <t>Kart basımında fotoğraf kullanılıyor mu?</t>
  </si>
  <si>
    <t>Kayıp kart prosedürü var mı?</t>
  </si>
  <si>
    <t>Geçiş sistemine BT mi güvenlik mi yönetici? Yetki listesi var mı?</t>
  </si>
  <si>
    <t>Otopark plaka kayıtları tutuluyor mu?</t>
  </si>
  <si>
    <t>Ziyaretçi</t>
  </si>
  <si>
    <t>Ziyaretçi kaydı nasıl alınıyor? (defter, yazılım, tablet)</t>
  </si>
  <si>
    <t>Ziyaretçilerden hangi bilgiler isteniyor? (ad, T.C. no, firma, plaka - minimizasyon)</t>
  </si>
  <si>
    <t>Ziyaretçi defteri herkesçe görülebiliyor mu? (önceki ziyaretçilerin verileri riski)</t>
  </si>
  <si>
    <t>Ziyaretçilere aydınlatma yapılıyor mu? (tabela, form)</t>
  </si>
  <si>
    <t>Ziyaretçi kayıtları ne kadar saklanıyor?</t>
  </si>
  <si>
    <t>Kimlik fotokopisi/kimlik bırakma uygulaması var mı? (riskli uygulama)</t>
  </si>
  <si>
    <t>Ziyaretçi kartları ve refakat kuralları uygulanıyor mu?</t>
  </si>
  <si>
    <t>Ziyaretçi Wi-Fi erişiminde hangi veriler toplanıyor? (5651 uyumu)</t>
  </si>
  <si>
    <t>Toplu ziyaretlerde (öğrenci gezisi vb.) katılımcı listeleri nasıl işleniyor?</t>
  </si>
  <si>
    <t>Kurye/dağıtıcı girişleri de kayıt altına alınıyor mu?</t>
  </si>
  <si>
    <t>Güvenlik Firması</t>
  </si>
  <si>
    <t>Güvenlik hizmeti dış firmadan mı? Sözleşmesinde KVKK hükümleri var mı?</t>
  </si>
  <si>
    <t>Güvenlik görevlileri hangi kişisel verilere erişiyor? (kamera, ziyaretçi, geçiş)</t>
  </si>
  <si>
    <t>Güvenlik personeline KVKK eğitimi verilmiş mi?</t>
  </si>
  <si>
    <t>Olay tutanaklarında (hırsızlık, kavga) kişisel veriler nasıl işleniyor?</t>
  </si>
  <si>
    <t>Güvenlik firması değişiminde kayıtların devri/imhası nasıl yapılıyor?</t>
  </si>
  <si>
    <t>Devriye/kontrol turlarında mobil uygulama kullanılıyor mu? Konum verisi?</t>
  </si>
  <si>
    <t>Kimlik Kontrol</t>
  </si>
  <si>
    <t>Araç ve eşya kontrollerinde kişisel veri işleniyor mu?</t>
  </si>
  <si>
    <t>X-ray/üst araması gibi uygulamalar var mı? Hukuki dayanağı?</t>
  </si>
  <si>
    <t>Kimlik doğrulamada NFC/QR uygulamaları kullanılıyor mu?</t>
  </si>
  <si>
    <t>Kargo/posta kabul kayıtlarında gönderici-alıcı verileri tutuluyor mu?</t>
  </si>
  <si>
    <t>13-Temizlik — Veri Toplama Formu</t>
  </si>
  <si>
    <t>Firma &amp; Sözleşme</t>
  </si>
  <si>
    <t>Temizlik hizmeti dış firmadan mı, bordrolu mu?</t>
  </si>
  <si>
    <t>Temizlik firmasıyla sözleşmede gizlilik/KVKK hükümleri var mı?</t>
  </si>
  <si>
    <t>Temizlik personeli listesi ve SGK bilgileri şirkete iletiliyor mu? (alt işveren yükümlülükleri)</t>
  </si>
  <si>
    <t>Personel değişimleri şirkete bildiriliyor mu?</t>
  </si>
  <si>
    <t>Temizlik personeline giriş kartı veriliyor mu? Geçiş kayıtları tutuluyor mu?</t>
  </si>
  <si>
    <t>Firma değişiminde erişim/anahtar devri prosedürü var mı?</t>
  </si>
  <si>
    <t>Temizlik personelinin özlük verilerini kim işliyor? (asıl işveren-alt işveren ilişkisi)</t>
  </si>
  <si>
    <t>Mesai dışı temizlik yapılıyorsa gözetim nasıl sağlanıyor?</t>
  </si>
  <si>
    <t>Erişim Alanları</t>
  </si>
  <si>
    <t>Temizlik personeli hangi alanlara erişebiliyor? Kısıtlı alan listesi var mı?</t>
  </si>
  <si>
    <t>Masalarda/yazıcılarda kalan belgeler riski değerlendirildi mi? (temiz masa politikası)</t>
  </si>
  <si>
    <t>Çöpe atılan belgeler nasıl imha ediliyor? Kağıt imha makinesi/konteyner var mı?</t>
  </si>
  <si>
    <t>Kilitli dolap/oda temizliği hangi kurala tabi?</t>
  </si>
  <si>
    <t>Anahtar/kart yönetimi (hangi personelde hangi erişim) kayıtlı mı?</t>
  </si>
  <si>
    <t>Yönetici ofisleri ve İK/muhasebe odaları için özel kural var mı?</t>
  </si>
  <si>
    <t>Temizlik saatlerinde refakat uygulaması var mı?</t>
  </si>
  <si>
    <t>Toplantı odalarındaki yazı tahtası/flipchart içerikleri siliniyor mu?</t>
  </si>
  <si>
    <t>Arşiv &amp; Sunucu</t>
  </si>
  <si>
    <t>Arşiv odasına temizlik personeli giriyor mu? Hangi koşullarda?</t>
  </si>
  <si>
    <t>Sunucu odası temizliği kimin gözetiminde yapılıyor?</t>
  </si>
  <si>
    <t>Arşiv ve sunucu odası anahtarları kimde?</t>
  </si>
  <si>
    <t>İmha edilecek belge kutuları temizlik sürecinden ayrışıyor mu?</t>
  </si>
  <si>
    <t>Dış imha firması belge topluyor mu? Sertifikalı imha yapılıyor mu?</t>
  </si>
  <si>
    <t>NDA &amp; Eğitim</t>
  </si>
  <si>
    <t>Temizlik personeliyle bireysel gizlilik taahhüdü imzalanıyor mu?</t>
  </si>
  <si>
    <t>Temizlik personeline temel veri güvenliği bilgilendirmesi yapılıyor mu?</t>
  </si>
  <si>
    <t>Diğer destek hizmetleri (çay ocağı, bahçıvan, teknik servis) için de aynı kurallar geçerli mi?</t>
  </si>
  <si>
    <t>Yemekhane hizmetlisi personel listelerine (alerji, diyet) erişiyor mu?</t>
  </si>
  <si>
    <t>14-Entegrasyonlar — Sistem ve Servis Envanteri</t>
  </si>
  <si>
    <t>Sistem / Servis</t>
  </si>
  <si>
    <t>Kategori</t>
  </si>
  <si>
    <t>Tipik Kullanım Amacı</t>
  </si>
  <si>
    <t>Kullanılıyor mu?</t>
  </si>
  <si>
    <t>Sağlayıcı / Plan / Hesap Türü</t>
  </si>
  <si>
    <t>Veri Lokasyonu (ülke/region)</t>
  </si>
  <si>
    <t>Sözleşme / DPA</t>
  </si>
  <si>
    <t>Hesap Sahibi / Admin</t>
  </si>
  <si>
    <t>Microsoft 365</t>
  </si>
  <si>
    <t>Ofis &amp; E-posta</t>
  </si>
  <si>
    <t>E-posta, ofis uygulamaları, dosya paylaşımı</t>
  </si>
  <si>
    <t>Microsoft Entra ID (Azure AD)</t>
  </si>
  <si>
    <t>Kimlik Yönetimi</t>
  </si>
  <si>
    <t>Kimlik doğrulama, SSO</t>
  </si>
  <si>
    <t>Google Workspace</t>
  </si>
  <si>
    <t>E-posta, dokümanlar, Drive</t>
  </si>
  <si>
    <t>AWS</t>
  </si>
  <si>
    <t>Bulut Altyapı</t>
  </si>
  <si>
    <t>Sunucu, veri tabanı, depolama</t>
  </si>
  <si>
    <t>Microsoft Azure</t>
  </si>
  <si>
    <t>Google Cloud (GCP)</t>
  </si>
  <si>
    <t>Slack</t>
  </si>
  <si>
    <t>İletişim</t>
  </si>
  <si>
    <t>Kurum içi mesajlaşma</t>
  </si>
  <si>
    <t>Microsoft Teams</t>
  </si>
  <si>
    <t>Mesajlaşma, toplantı, telefon</t>
  </si>
  <si>
    <t>Zoom</t>
  </si>
  <si>
    <t>Video konferans, webinar</t>
  </si>
  <si>
    <t>WhatsApp / WhatsApp Business</t>
  </si>
  <si>
    <t>Müşteri iletişimi, iç iletişim</t>
  </si>
  <si>
    <t>OpenAI / ChatGPT</t>
  </si>
  <si>
    <t>İçerik üretimi, analiz, API</t>
  </si>
  <si>
    <t>Anthropic Claude</t>
  </si>
  <si>
    <t>Google Gemini</t>
  </si>
  <si>
    <t>İçerik üretimi, analiz</t>
  </si>
  <si>
    <t>Microsoft Copilot</t>
  </si>
  <si>
    <t>Ofis içi AI asistan</t>
  </si>
  <si>
    <t>GitHub</t>
  </si>
  <si>
    <t>Geliştirme</t>
  </si>
  <si>
    <t>Kod deposu, CI/CD</t>
  </si>
  <si>
    <t>GitLab</t>
  </si>
  <si>
    <t>Bitbucket</t>
  </si>
  <si>
    <t>Kod deposu</t>
  </si>
  <si>
    <t>Jira</t>
  </si>
  <si>
    <t>Proje Yönetimi</t>
  </si>
  <si>
    <t>İş takibi, destek kayıtları</t>
  </si>
  <si>
    <t>Confluence</t>
  </si>
  <si>
    <t>Dokümantasyon</t>
  </si>
  <si>
    <t>Notion</t>
  </si>
  <si>
    <t>Dokümantasyon, wiki</t>
  </si>
  <si>
    <t>Trello / Asana / Monday</t>
  </si>
  <si>
    <t>Görev yönetimi</t>
  </si>
  <si>
    <t>Logo / Netsis / Mikro</t>
  </si>
  <si>
    <t>ERP &amp; Muhasebe</t>
  </si>
  <si>
    <t>Muhasebe, fatura, bordro</t>
  </si>
  <si>
    <t>SAP</t>
  </si>
  <si>
    <t>ERP, finans, İK</t>
  </si>
  <si>
    <t>Salesforce</t>
  </si>
  <si>
    <t>Müşteri yönetimi</t>
  </si>
  <si>
    <t>HubSpot</t>
  </si>
  <si>
    <t>CRM &amp; Pazarlama</t>
  </si>
  <si>
    <t>CRM, e-posta pazarlama</t>
  </si>
  <si>
    <t>Zoho</t>
  </si>
  <si>
    <t>Mailchimp</t>
  </si>
  <si>
    <t>Pazarlama</t>
  </si>
  <si>
    <t>Toplu e-posta</t>
  </si>
  <si>
    <t>SendGrid / SMTP servisi</t>
  </si>
  <si>
    <t>İşlemsel e-posta</t>
  </si>
  <si>
    <t>Netgsm / İleti Merkezi vb.</t>
  </si>
  <si>
    <t>SMS gönderimi, İYS</t>
  </si>
  <si>
    <t>Google Analytics (GA4)</t>
  </si>
  <si>
    <t>Analitik</t>
  </si>
  <si>
    <t>Web sitesi analitiği</t>
  </si>
  <si>
    <t>Google Tag Manager</t>
  </si>
  <si>
    <t>Etiket yönetimi</t>
  </si>
  <si>
    <t>Meta Pixel / Meta Business</t>
  </si>
  <si>
    <t>Reklam</t>
  </si>
  <si>
    <t>Reklam, remarketing</t>
  </si>
  <si>
    <t>Google Ads</t>
  </si>
  <si>
    <t>Reklam, dönüşüm izleme</t>
  </si>
  <si>
    <t>LinkedIn (sayfa + Insight Tag)</t>
  </si>
  <si>
    <t>Sosyal Medya &amp; Reklam</t>
  </si>
  <si>
    <t>Kurumsal sayfa, reklam</t>
  </si>
  <si>
    <t>Instagram / Facebook</t>
  </si>
  <si>
    <t>Sosyal Medya</t>
  </si>
  <si>
    <t>Kurumsal hesap</t>
  </si>
  <si>
    <t>YouTube</t>
  </si>
  <si>
    <t>Video içerik</t>
  </si>
  <si>
    <t>TikTok</t>
  </si>
  <si>
    <t>Kurumsal hesap, piksel</t>
  </si>
  <si>
    <t>X (Twitter)</t>
  </si>
  <si>
    <t>Hotjar / Microsoft Clarity</t>
  </si>
  <si>
    <t>Isı haritası, oturum kaydı</t>
  </si>
  <si>
    <t>Dropbox / Box</t>
  </si>
  <si>
    <t>Depolama</t>
  </si>
  <si>
    <t>Dosya paylaşımı</t>
  </si>
  <si>
    <t>DocuSign / e-imza platformu</t>
  </si>
  <si>
    <t>İmza</t>
  </si>
  <si>
    <t>Elektronik imza süreçleri</t>
  </si>
  <si>
    <t>Zapier / Make</t>
  </si>
  <si>
    <t>Entegrasyon</t>
  </si>
  <si>
    <t>Sistemler arası otomasyon</t>
  </si>
  <si>
    <t>Kolay İK / benzeri İK yazılımı</t>
  </si>
  <si>
    <t>İK</t>
  </si>
  <si>
    <t>Özlük, izin, bordro</t>
  </si>
  <si>
    <t>PDKS / kartlı geçiş yazılımı</t>
  </si>
  <si>
    <t>Güvenlik</t>
  </si>
  <si>
    <t>Personel devam kontrolü</t>
  </si>
  <si>
    <t>Sanal POS (iyzico, PayTR, Stripe...)</t>
  </si>
  <si>
    <t>Ödeme</t>
  </si>
  <si>
    <t>Online tahsilat</t>
  </si>
  <si>
    <t>[Listede olmayan sistem — elle ekleyin]</t>
  </si>
  <si>
    <t>15-Kanıt Belgeleri — Yüklenecek Belge Kontrol Listesi</t>
  </si>
  <si>
    <t>Belge Adı</t>
  </si>
  <si>
    <t>İlgili Sekme</t>
  </si>
  <si>
    <t>Dosya Adı / Konum</t>
  </si>
  <si>
    <t>Not</t>
  </si>
  <si>
    <t>Politika &amp; Prosedür</t>
  </si>
  <si>
    <t>Kişisel veri saklama ve imha politikası</t>
  </si>
  <si>
    <t>Kişisel veri işleme (genel KVKK) politikası</t>
  </si>
  <si>
    <t>Bilgi güvenliği politikası</t>
  </si>
  <si>
    <t>Özel nitelikli veri işleme politikası</t>
  </si>
  <si>
    <t>Erişim yetkilendirme prosedürü</t>
  </si>
  <si>
    <t>Parola politikası</t>
  </si>
  <si>
    <t>Uzaktan çalışma politikası</t>
  </si>
  <si>
    <t>BYOD / mobil cihaz politikası</t>
  </si>
  <si>
    <t>Yapay zekâ kullanım politikası</t>
  </si>
  <si>
    <t>Sosyal medya politikası</t>
  </si>
  <si>
    <t>Temiz masa / temiz ekran politikası</t>
  </si>
  <si>
    <t>Veri ihlali müdahale planı</t>
  </si>
  <si>
    <t>Kamera (CCTV) politikası</t>
  </si>
  <si>
    <t>Çalışan izleme/denetim bildirimi</t>
  </si>
  <si>
    <t>İlgili kişi başvuru prosedürü ve formu</t>
  </si>
  <si>
    <t>Aydınlatma &amp; Rıza</t>
  </si>
  <si>
    <t>Çalışan aydınlatma metni</t>
  </si>
  <si>
    <t>Çalışan adayı aydınlatma metni</t>
  </si>
  <si>
    <t>Müşteri aydınlatma metni</t>
  </si>
  <si>
    <t>Ziyaretçi aydınlatma metni + tabela fotoğrafı</t>
  </si>
  <si>
    <t>Kamera aydınlatma levhası fotoğrafı</t>
  </si>
  <si>
    <t>Web sitesi gizlilik/çerez politikası</t>
  </si>
  <si>
    <t>Açık rıza metinleri (biyometrik, sağlık, pazarlama)</t>
  </si>
  <si>
    <t>İYS onay kayıtları örneği</t>
  </si>
  <si>
    <t>İK Belgeleri</t>
  </si>
  <si>
    <t>İş sözleşmesi şablonu (gizlilik + KVKK maddeleri)</t>
  </si>
  <si>
    <t>Örnek özlük dosyası içerik listesi</t>
  </si>
  <si>
    <t>Zimmet formu örneği</t>
  </si>
  <si>
    <t>İşe giriş / çıkış (on-off boarding) kontrol listesi</t>
  </si>
  <si>
    <t>İK prosedürü / yönetmeliği</t>
  </si>
  <si>
    <t>OSGB / işyeri hekimi sözleşmesi</t>
  </si>
  <si>
    <t>Bordro hizmeti (SMMM/outsource) sözleşmesi</t>
  </si>
  <si>
    <t>KVKK eğitim katılım tutanakları</t>
  </si>
  <si>
    <t>PDKS ekran görüntüsü</t>
  </si>
  <si>
    <t>İhbar/etik hattı prosedürü</t>
  </si>
  <si>
    <t>BT &amp; Güvenlik</t>
  </si>
  <si>
    <t>Sunucu/ağ mimarisi diyagramı</t>
  </si>
  <si>
    <t>Firewall kural seti özeti / diyagramı</t>
  </si>
  <si>
    <t>AWS/Azure/GCP mimari şeması ve region bilgisi</t>
  </si>
  <si>
    <t>Bulut sağlayıcı DPA'ları (AWS/Azure/GCP/M365)</t>
  </si>
  <si>
    <t>Yetki matrisi (sistem x rol tablosu)</t>
  </si>
  <si>
    <t>Active Directory / Entra ID kullanıcı listesi ekran görüntüsü</t>
  </si>
  <si>
    <t>Log yönetimi ekran görüntüsü + saklama süreleri tablosu</t>
  </si>
  <si>
    <t>Yedekleme prosedürü ve son restore testi kaydı</t>
  </si>
  <si>
    <t>Sızma testi raporu (yönetici özeti)</t>
  </si>
  <si>
    <t>ISO 27001 sertifikası ve kapsam beyanı</t>
  </si>
  <si>
    <t>01-Genel</t>
  </si>
  <si>
    <t>Envanter listesi (donanım/yazılım)</t>
  </si>
  <si>
    <t>İmha tutanakları (disk/belge) örneği</t>
  </si>
  <si>
    <t>GitHub/GitLab organizasyon üye listesi ekran görüntüsü</t>
  </si>
  <si>
    <t>Microsoft 365 tenant ayarları ekran görüntüsü</t>
  </si>
  <si>
    <t>MDM kayıtlı cihaz listesi</t>
  </si>
  <si>
    <t>SIEM/alarm ekranı görüntüsü</t>
  </si>
  <si>
    <t>Test verisi maskeleme prosedürü</t>
  </si>
  <si>
    <t>Olay kayıt defteri (incident register)</t>
  </si>
  <si>
    <t>Sözleşmeler</t>
  </si>
  <si>
    <t>Standart NDA şablonu</t>
  </si>
  <si>
    <t>Veri işleme sözleşmesi (DPA) şablonu</t>
  </si>
  <si>
    <t>İmzalı DPA listesi (tedarikçi bazında)</t>
  </si>
  <si>
    <t>Kargo firması sözleşmesi</t>
  </si>
  <si>
    <t>Güvenlik firması sözleşmesi</t>
  </si>
  <si>
    <t>Temizlik firması sözleşmesi</t>
  </si>
  <si>
    <t>CRM/e-posta pazarlama platformu sözleşmeleri</t>
  </si>
  <si>
    <t>Ajans sözleşmeleri (sosyal medya, reklam)</t>
  </si>
  <si>
    <t>Yurt dışı aktarım standart sözleşmeleri + Kurul bildirimi</t>
  </si>
  <si>
    <t>Grup içi veri paylaşım sözleşmesi</t>
  </si>
  <si>
    <t>Dış yazılım/danışman sözleşmeleri</t>
  </si>
  <si>
    <t>E-fatura entegratör sözleşmesi</t>
  </si>
  <si>
    <t>Fiziksel Güvenlik</t>
  </si>
  <si>
    <t>Kamera yerleşim planı</t>
  </si>
  <si>
    <t>Kamera kayıt sistemi ekran görüntüsü (saklama ayarı görünür)</t>
  </si>
  <si>
    <t>Kartlı geçiş sistemi ekran görüntüsü</t>
  </si>
  <si>
    <t>Ziyaretçi kayıt formu/ekranı örneği</t>
  </si>
  <si>
    <t>Sunucu odası erişim listesi</t>
  </si>
  <si>
    <t>Arşiv odası düzeni fotoğrafı ve erişim kuralı</t>
  </si>
  <si>
    <t>Kayıt &amp; Envanter</t>
  </si>
  <si>
    <t>VERBİS kayıt çıktısı (mevcutsa)</t>
  </si>
  <si>
    <t>Mevcut veri envanteri (varsa)</t>
  </si>
  <si>
    <t>SaaS/uygulama envanteri listesi</t>
  </si>
  <si>
    <t>İlgili kişi başvuru kayıtları (varsa)</t>
  </si>
  <si>
    <t>Geçmiş ihlal/olay kayıtları (varsa)</t>
  </si>
  <si>
    <t>Ticaret sicil gazetesi / imza sirküleri</t>
  </si>
  <si>
    <t>KISI</t>
  </si>
  <si>
    <t>KAYNAK</t>
  </si>
  <si>
    <t>YURTDISI</t>
  </si>
  <si>
    <t>HUKUKI</t>
  </si>
  <si>
    <t>DURUM</t>
  </si>
  <si>
    <t>DOKUMAN</t>
  </si>
  <si>
    <t>KANIT</t>
  </si>
  <si>
    <t>KULLANIM</t>
  </si>
  <si>
    <t>SOZLESME</t>
  </si>
  <si>
    <t>Çalışan</t>
  </si>
  <si>
    <t>İlgili kişinin kendisi</t>
  </si>
  <si>
    <t>Evet</t>
  </si>
  <si>
    <t>5/1 Açık Rıza (GDPR 6/1-a)</t>
  </si>
  <si>
    <t>Var</t>
  </si>
  <si>
    <t>Eklendi</t>
  </si>
  <si>
    <t>Çalışan Adayı</t>
  </si>
  <si>
    <t>Başka veri sorumlusu</t>
  </si>
  <si>
    <t>Hayır</t>
  </si>
  <si>
    <t>5/2-a Kanunlarda Öngörülme (GDPR 6/1-c)</t>
  </si>
  <si>
    <t>Kısmen Dolduruldu</t>
  </si>
  <si>
    <t>Eklenecek</t>
  </si>
  <si>
    <t>Yok</t>
  </si>
  <si>
    <t>Stajyer</t>
  </si>
  <si>
    <t>Kamu kurumu</t>
  </si>
  <si>
    <t>Muhtemel (bulut)</t>
  </si>
  <si>
    <t>5/2-b Fiili İmkânsızlık (GDPR 6/1-d)</t>
  </si>
  <si>
    <t>Kısmen (NDA var, DPA yok)</t>
  </si>
  <si>
    <t>Eski Çalışan</t>
  </si>
  <si>
    <t>Otomatik sistem / log</t>
  </si>
  <si>
    <t>5/2-c Sözleşmenin Kurulması/İfası (GDPR 6/1-b)</t>
  </si>
  <si>
    <t>Değerlendiriliyor</t>
  </si>
  <si>
    <t>Çalışan Yakını</t>
  </si>
  <si>
    <t>Çerez / izleme teknolojisi</t>
  </si>
  <si>
    <t>5/2-ç Hukuki Yükümlülük (GDPR 6/1-c)</t>
  </si>
  <si>
    <t>Müşteri (Ürün/Hizmet Alan)</t>
  </si>
  <si>
    <t>Üçüncü taraf platform</t>
  </si>
  <si>
    <t>5/2-d İlgili Kişinin Alenileştirmesi</t>
  </si>
  <si>
    <t>Potansiyel Müşteri</t>
  </si>
  <si>
    <t>Karma / Birden Fazla</t>
  </si>
  <si>
    <t>5/2-e Hakkın Tesisi/Kullanılması/Korunması (GDPR 6/1-f)</t>
  </si>
  <si>
    <t>Müşteri Yetkilisi/Çalışanı</t>
  </si>
  <si>
    <t>5/2-f Meşru Menfaat (GDPR 6/1-f)</t>
  </si>
  <si>
    <t>Tedarikçi Yetkilisi/Çalışanı</t>
  </si>
  <si>
    <t>m.6 Özel Nitelikli Veri Şartı (GDPR art.9)</t>
  </si>
  <si>
    <t>Birden Fazla Sebep (nota yazın)</t>
  </si>
  <si>
    <t>Web Sitesi Ziyaretçisi</t>
  </si>
  <si>
    <t>Belirlenmedi / Bilinmiyor</t>
  </si>
  <si>
    <t>Kullanıcı (Ürün/Uygulama)</t>
  </si>
  <si>
    <t>Hissedar/Ortak</t>
  </si>
  <si>
    <t>Yönetim Kurulu Üyesi</t>
  </si>
  <si>
    <t>Karma / Birden Fazla Grup</t>
  </si>
  <si>
    <t>Diğer</t>
  </si>
  <si>
    <t>İLGİLİ KİŞİ</t>
  </si>
  <si>
    <t>Çalışan</t>
  </si>
  <si>
    <t>Çalışan Adayı</t>
  </si>
  <si>
    <t>Denek</t>
  </si>
  <si>
    <t>Diğer</t>
  </si>
  <si>
    <t>Habere konu kişi</t>
  </si>
  <si>
    <t>Potansiyel Ürün veya Hizmet Alıcısı</t>
  </si>
  <si>
    <t>Sınav adayı</t>
  </si>
  <si>
    <t>Tedarikçi Çalışanı</t>
  </si>
  <si>
    <t>Tedarikçi Yetkilisi</t>
  </si>
  <si>
    <t>Ürün veya Hizmet Alan Kişi</t>
  </si>
  <si>
    <t>Veli / Vasi / Temsilci</t>
  </si>
  <si>
    <t>Ziyaretçi</t>
  </si>
  <si>
    <t>Yönetici</t>
  </si>
  <si>
    <t>KİŞİSEL VERİ KATEGORİSİ (ÜST)</t>
  </si>
  <si>
    <t>Biyometrik Veri</t>
  </si>
  <si>
    <t>Ceza Mahkumiyeti ve Güvenlik Tedbirleri</t>
  </si>
  <si>
    <t>Cinsel Hayat</t>
  </si>
  <si>
    <t>Dernek Üyeliği</t>
  </si>
  <si>
    <t>Diğer Bilgiler</t>
  </si>
  <si>
    <t>Felsefi İnanç, Din, Mezhep ve Diğer İnançlar</t>
  </si>
  <si>
    <t>Finans</t>
  </si>
  <si>
    <t>Fiziksel Mekân Güvenliği</t>
  </si>
  <si>
    <t>Genetik Veri</t>
  </si>
  <si>
    <t>Görsel ve İşitsel Kayıtlar</t>
  </si>
  <si>
    <t>Hukuki İşlem</t>
  </si>
  <si>
    <t>Irk ve Etnik Köken</t>
  </si>
  <si>
    <t>İşlem Güvenliği</t>
  </si>
  <si>
    <t xml:space="preserve">Kılık ve Kıyafet </t>
  </si>
  <si>
    <t>Kimlik</t>
  </si>
  <si>
    <t>Lokasyon</t>
  </si>
  <si>
    <t>Mesleki Deneyim</t>
  </si>
  <si>
    <t>Müşteri İşlem</t>
  </si>
  <si>
    <t>Özlük</t>
  </si>
  <si>
    <t>Risk Yönetimi</t>
  </si>
  <si>
    <t>Sağlık Bilgileri</t>
  </si>
  <si>
    <t>Sendika Üyeliği</t>
  </si>
  <si>
    <t>Siyasi Düşünce Bilgileri</t>
  </si>
  <si>
    <t>Vakıf Üyeliği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</si>
</sst>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2"/>
      <color rgb="FF1F4E79"/>
      <name val="Arial"/>
      <family val="2"/>
    </font>
    <font>
      <b/>
      <sz val="14"/>
      <color rgb="FF1F4E7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12"/>
      <color rgb="FFC00000"/>
      <name val="Arial"/>
      <family val="2"/>
    </font>
    <font>
      <i/>
      <sz val="9"/>
      <color rgb="FF808080"/>
      <name val="Arial"/>
      <family val="2"/>
    </font>
    <font>
      <b/>
      <sz val="10"/>
      <color rgb="FF1F4E79"/>
      <name val="Arial"/>
      <family val="2"/>
    </font>
    <font>
      <b/>
      <sz val="9"/>
      <color rgb="FFC00000"/>
      <name val="Arial"/>
      <family val="2"/>
    </font>
    <font>
      <sz val="9"/>
      <color rgb="FF808080"/>
      <name val="Arial"/>
      <family val="2"/>
    </font>
    <font>
      <sz val="12"/>
      <color theme="1"/>
      <name val="Times New Roman"/>
      <family val="1"/>
    </font>
    <font>
      <b/>
      <sz val="10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203864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9" fontId="1" fillId="0" borderId="1" xfId="0" applyNumberFormat="1" applyFont="1" applyBorder="1"/>
    <xf numFmtId="0" fontId="5" fillId="0" borderId="1" xfId="0" applyFont="1" applyBorder="1"/>
    <xf numFmtId="0" fontId="6" fillId="0" borderId="0" xfId="0" applyFont="1"/>
    <xf numFmtId="0" fontId="7" fillId="0" borderId="0" xfId="0" applyFont="1"/>
    <xf numFmtId="0" fontId="1" fillId="0" borderId="1" xfId="0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0" borderId="0" xfId="0" applyFont="1"/>
    <xf numFmtId="0" fontId="1" fillId="0" borderId="0" xfId="0" applyFont="1"/>
    <xf numFmtId="0" fontId="5" fillId="0" borderId="0" xfId="0" applyFont="1" applyAlignment="1">
      <alignment horizontal="center"/>
    </xf>
    <xf numFmtId="0" fontId="11" fillId="0" borderId="2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75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2F2F2"/>
      <rgbColor rgb="FFFCE4D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8CBAD"/>
      <rgbColor rgb="FF2E75B6"/>
      <rgbColor rgb="FF33CCCC"/>
      <rgbColor rgb="FF99CC00"/>
      <rgbColor rgb="FFFFCC00"/>
      <rgbColor rgb="FFBF8F00"/>
      <rgbColor rgb="FFC55A11"/>
      <rgbColor rgb="FF666699"/>
      <rgbColor rgb="FF969696"/>
      <rgbColor rgb="FF203864"/>
      <rgbColor rgb="FF00B050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66"/>
  <sheetViews>
    <sheetView topLeftCell="A36" zoomScaleNormal="100" workbookViewId="0"/>
  </sheetViews>
  <sheetFormatPr baseColWidth="10" defaultColWidth="8.6640625" defaultRowHeight="15" x14ac:dyDescent="0.2"/>
  <cols>
    <col min="1" max="1" width="110" customWidth="1"/>
  </cols>
  <sheetData>
    <row r="1" spans="1:1" x14ac:dyDescent="0.2">
      <c r="A1" s="1"/>
    </row>
    <row r="2" spans="1:1" ht="17" x14ac:dyDescent="0.2">
      <c r="A2" s="2" t="s">
        <v>0</v>
      </c>
    </row>
    <row r="3" spans="1:1" x14ac:dyDescent="0.2">
      <c r="A3" s="1" t="s">
        <v>1</v>
      </c>
    </row>
    <row r="4" spans="1:1" x14ac:dyDescent="0.2">
      <c r="A4" s="1"/>
    </row>
    <row r="5" spans="1:1" ht="17" x14ac:dyDescent="0.2">
      <c r="A5" s="2" t="s">
        <v>2</v>
      </c>
    </row>
    <row r="6" spans="1:1" x14ac:dyDescent="0.2">
      <c r="A6" s="1" t="s">
        <v>3</v>
      </c>
    </row>
    <row r="7" spans="1:1" x14ac:dyDescent="0.2">
      <c r="A7" s="1" t="s">
        <v>4</v>
      </c>
    </row>
    <row r="8" spans="1:1" x14ac:dyDescent="0.2">
      <c r="A8" s="1" t="s">
        <v>5</v>
      </c>
    </row>
    <row r="9" spans="1:1" x14ac:dyDescent="0.2">
      <c r="A9" s="1"/>
    </row>
    <row r="10" spans="1:1" ht="17" x14ac:dyDescent="0.2">
      <c r="A10" s="2" t="s">
        <v>6</v>
      </c>
    </row>
    <row r="11" spans="1:1" x14ac:dyDescent="0.2">
      <c r="A11" s="1" t="s">
        <v>7</v>
      </c>
    </row>
    <row r="12" spans="1:1" x14ac:dyDescent="0.2">
      <c r="A12" s="1" t="s">
        <v>8</v>
      </c>
    </row>
    <row r="13" spans="1:1" x14ac:dyDescent="0.2">
      <c r="A13" s="1" t="s">
        <v>9</v>
      </c>
    </row>
    <row r="14" spans="1:1" x14ac:dyDescent="0.2">
      <c r="A14" s="1"/>
    </row>
    <row r="15" spans="1:1" ht="17" x14ac:dyDescent="0.2">
      <c r="A15" s="2" t="s">
        <v>10</v>
      </c>
    </row>
    <row r="16" spans="1:1" x14ac:dyDescent="0.2">
      <c r="A16" s="1" t="s">
        <v>11</v>
      </c>
    </row>
    <row r="17" spans="1:1" x14ac:dyDescent="0.2">
      <c r="A17" s="1" t="s">
        <v>12</v>
      </c>
    </row>
    <row r="18" spans="1:1" x14ac:dyDescent="0.2">
      <c r="A18" s="1" t="s">
        <v>13</v>
      </c>
    </row>
    <row r="19" spans="1:1" x14ac:dyDescent="0.2">
      <c r="A19" s="1" t="s">
        <v>14</v>
      </c>
    </row>
    <row r="20" spans="1:1" x14ac:dyDescent="0.2">
      <c r="A20" s="1" t="s">
        <v>15</v>
      </c>
    </row>
    <row r="21" spans="1:1" x14ac:dyDescent="0.2">
      <c r="A21" s="1" t="s">
        <v>16</v>
      </c>
    </row>
    <row r="22" spans="1:1" x14ac:dyDescent="0.2">
      <c r="A22" s="1" t="s">
        <v>17</v>
      </c>
    </row>
    <row r="23" spans="1:1" x14ac:dyDescent="0.2">
      <c r="A23" s="1" t="s">
        <v>18</v>
      </c>
    </row>
    <row r="24" spans="1:1" x14ac:dyDescent="0.2">
      <c r="A24" s="1" t="s">
        <v>19</v>
      </c>
    </row>
    <row r="25" spans="1:1" x14ac:dyDescent="0.2">
      <c r="A25" s="1" t="s">
        <v>20</v>
      </c>
    </row>
    <row r="26" spans="1:1" x14ac:dyDescent="0.2">
      <c r="A26" s="1" t="s">
        <v>21</v>
      </c>
    </row>
    <row r="27" spans="1:1" x14ac:dyDescent="0.2">
      <c r="A27" s="1"/>
    </row>
    <row r="28" spans="1:1" ht="17" x14ac:dyDescent="0.2">
      <c r="A28" s="2" t="s">
        <v>22</v>
      </c>
    </row>
    <row r="29" spans="1:1" x14ac:dyDescent="0.2">
      <c r="A29" s="1" t="s">
        <v>23</v>
      </c>
    </row>
    <row r="30" spans="1:1" x14ac:dyDescent="0.2">
      <c r="A30" s="1"/>
    </row>
    <row r="31" spans="1:1" ht="17" x14ac:dyDescent="0.2">
      <c r="A31" s="2" t="s">
        <v>24</v>
      </c>
    </row>
    <row r="32" spans="1:1" x14ac:dyDescent="0.2">
      <c r="A32" s="1" t="s">
        <v>25</v>
      </c>
    </row>
    <row r="33" spans="1:1" x14ac:dyDescent="0.2">
      <c r="A33" s="1" t="s">
        <v>26</v>
      </c>
    </row>
    <row r="34" spans="1:1" x14ac:dyDescent="0.2">
      <c r="A34" s="1"/>
    </row>
    <row r="35" spans="1:1" ht="17" x14ac:dyDescent="0.2">
      <c r="A35" s="2" t="s">
        <v>27</v>
      </c>
    </row>
    <row r="36" spans="1:1" x14ac:dyDescent="0.2">
      <c r="A36" s="1" t="s">
        <v>28</v>
      </c>
    </row>
    <row r="37" spans="1:1" x14ac:dyDescent="0.2">
      <c r="A37" s="1" t="s">
        <v>29</v>
      </c>
    </row>
    <row r="38" spans="1:1" x14ac:dyDescent="0.2">
      <c r="A38" s="1" t="s">
        <v>30</v>
      </c>
    </row>
    <row r="39" spans="1:1" x14ac:dyDescent="0.2">
      <c r="A39" s="1" t="s">
        <v>31</v>
      </c>
    </row>
    <row r="40" spans="1:1" x14ac:dyDescent="0.2">
      <c r="A40" s="1" t="s">
        <v>32</v>
      </c>
    </row>
    <row r="41" spans="1:1" x14ac:dyDescent="0.2">
      <c r="A41" s="1" t="s">
        <v>33</v>
      </c>
    </row>
    <row r="42" spans="1:1" x14ac:dyDescent="0.2">
      <c r="A42" s="1" t="s">
        <v>34</v>
      </c>
    </row>
    <row r="43" spans="1:1" x14ac:dyDescent="0.2">
      <c r="A43" s="1" t="s">
        <v>35</v>
      </c>
    </row>
    <row r="44" spans="1:1" x14ac:dyDescent="0.2">
      <c r="A44" s="1" t="s">
        <v>36</v>
      </c>
    </row>
    <row r="45" spans="1:1" x14ac:dyDescent="0.2">
      <c r="A45" s="1" t="s">
        <v>37</v>
      </c>
    </row>
    <row r="46" spans="1:1" x14ac:dyDescent="0.2">
      <c r="A46" s="1" t="s">
        <v>38</v>
      </c>
    </row>
    <row r="47" spans="1:1" x14ac:dyDescent="0.2">
      <c r="A47" s="1" t="s">
        <v>39</v>
      </c>
    </row>
    <row r="48" spans="1:1" x14ac:dyDescent="0.2">
      <c r="A48" s="1" t="s">
        <v>40</v>
      </c>
    </row>
    <row r="49" spans="1:1" x14ac:dyDescent="0.2">
      <c r="A49" s="1" t="s">
        <v>41</v>
      </c>
    </row>
    <row r="50" spans="1:1" x14ac:dyDescent="0.2">
      <c r="A50" s="1" t="s">
        <v>42</v>
      </c>
    </row>
    <row r="51" spans="1:1" x14ac:dyDescent="0.2">
      <c r="A51" s="1" t="s">
        <v>43</v>
      </c>
    </row>
    <row r="52" spans="1:1" x14ac:dyDescent="0.2">
      <c r="A52" s="1"/>
    </row>
    <row r="53" spans="1:1" x14ac:dyDescent="0.2">
      <c r="A53" s="1" t="s">
        <v>44</v>
      </c>
    </row>
    <row r="54" spans="1:1" x14ac:dyDescent="0.2">
      <c r="A54" s="1" t="s">
        <v>45</v>
      </c>
    </row>
    <row r="55" spans="1:1" x14ac:dyDescent="0.2">
      <c r="A55" s="1" t="s">
        <v>46</v>
      </c>
    </row>
    <row r="56" spans="1:1" x14ac:dyDescent="0.2">
      <c r="A56" s="1" t="s">
        <v>47</v>
      </c>
    </row>
    <row r="57" spans="1:1" x14ac:dyDescent="0.2">
      <c r="A57" s="1" t="s">
        <v>48</v>
      </c>
    </row>
    <row r="58" spans="1:1" x14ac:dyDescent="0.2">
      <c r="A58" s="1" t="s">
        <v>49</v>
      </c>
    </row>
    <row r="59" spans="1:1" x14ac:dyDescent="0.2">
      <c r="A59" s="1" t="s">
        <v>50</v>
      </c>
    </row>
    <row r="60" spans="1:1" x14ac:dyDescent="0.2">
      <c r="A60" s="1" t="s">
        <v>51</v>
      </c>
    </row>
    <row r="61" spans="1:1" x14ac:dyDescent="0.2">
      <c r="A61" s="1" t="s">
        <v>52</v>
      </c>
    </row>
    <row r="62" spans="1:1" x14ac:dyDescent="0.2">
      <c r="A62" s="1" t="s">
        <v>53</v>
      </c>
    </row>
    <row r="63" spans="1:1" x14ac:dyDescent="0.2">
      <c r="A63" s="1" t="s">
        <v>54</v>
      </c>
    </row>
    <row r="64" spans="1:1" x14ac:dyDescent="0.2">
      <c r="A64" s="1" t="s">
        <v>55</v>
      </c>
    </row>
    <row r="65" spans="1:1" x14ac:dyDescent="0.2">
      <c r="A65" s="1" t="s">
        <v>56</v>
      </c>
    </row>
    <row r="66" spans="1:1" x14ac:dyDescent="0.2">
      <c r="A66" s="1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I39"/>
  <sheetViews>
    <sheetView zoomScaleNormal="100" workbookViewId="0">
      <selection activeCell="J4" sqref="J4"/>
    </sheetView>
  </sheetViews>
  <sheetFormatPr baseColWidth="10" defaultColWidth="8.6640625" defaultRowHeight="15" x14ac:dyDescent="0.2"/>
  <cols>
    <col min="1" max="1" width="26" customWidth="1"/>
    <col min="2" max="2" width="12" customWidth="1"/>
    <col min="3" max="3" width="13" customWidth="1"/>
    <col min="4" max="4" width="12" customWidth="1"/>
    <col min="5" max="5" width="13" customWidth="1"/>
    <col min="6" max="6" width="14" customWidth="1"/>
    <col min="7" max="7" width="10" customWidth="1"/>
    <col min="8" max="8" width="15" customWidth="1"/>
    <col min="9" max="9" width="2" customWidth="1"/>
  </cols>
  <sheetData>
    <row r="1" spans="1:9" ht="24" customHeight="1" x14ac:dyDescent="0.2">
      <c r="A1" s="24" t="s">
        <v>58</v>
      </c>
      <c r="B1" s="24"/>
      <c r="C1" s="24"/>
      <c r="D1" s="24"/>
      <c r="E1" s="24"/>
      <c r="F1" s="24"/>
      <c r="G1" s="24"/>
      <c r="H1" s="24"/>
      <c r="I1" s="24"/>
    </row>
    <row r="3" spans="1:9" ht="30" customHeight="1" x14ac:dyDescent="0.2">
      <c r="A3" s="3" t="s">
        <v>59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66</v>
      </c>
    </row>
    <row r="4" spans="1:9" x14ac:dyDescent="0.2">
      <c r="A4" s="4" t="s">
        <v>67</v>
      </c>
      <c r="B4" s="4">
        <v>45</v>
      </c>
      <c r="C4" s="4">
        <f>COUNTIF('01-Genel-Sirket'!$R$3:$R$47,"Dolduruldu")</f>
        <v>0</v>
      </c>
      <c r="D4" s="4">
        <f>COUNTIF('01-Genel-Sirket'!$R$3:$R$47,"Kısmen Dolduruldu")</f>
        <v>0</v>
      </c>
      <c r="E4" s="4">
        <f>COUNTIF('01-Genel-Sirket'!$R$3:$R$47,"Bilinmiyor")</f>
        <v>0</v>
      </c>
      <c r="F4" s="4">
        <f>COUNTIF('01-Genel-Sirket'!$R$3:$R$47,"Uygulanamaz")</f>
        <v>0</v>
      </c>
      <c r="G4" s="4">
        <f t="shared" ref="G4:G18" si="0">B4-SUM(C4:F4)</f>
        <v>45</v>
      </c>
      <c r="H4" s="5">
        <f t="shared" ref="H4:H19" si="1">(C4+F4)/B4</f>
        <v>0</v>
      </c>
    </row>
    <row r="5" spans="1:9" x14ac:dyDescent="0.2">
      <c r="A5" s="4" t="s">
        <v>68</v>
      </c>
      <c r="B5" s="4">
        <v>106</v>
      </c>
      <c r="C5" s="4">
        <f>COUNTIF('02-İnsan Kaynakları'!$R$3:$R$108,"Dolduruldu")</f>
        <v>0</v>
      </c>
      <c r="D5" s="4">
        <f>COUNTIF('02-İnsan Kaynakları'!$R$3:$R$108,"Kısmen Dolduruldu")</f>
        <v>0</v>
      </c>
      <c r="E5" s="4">
        <f>COUNTIF('02-İnsan Kaynakları'!$R$3:$R$108,"Bilinmiyor")</f>
        <v>0</v>
      </c>
      <c r="F5" s="4">
        <f>COUNTIF('02-İnsan Kaynakları'!$R$3:$R$108,"Uygulanamaz")</f>
        <v>0</v>
      </c>
      <c r="G5" s="4">
        <f t="shared" si="0"/>
        <v>106</v>
      </c>
      <c r="H5" s="5">
        <f t="shared" si="1"/>
        <v>0</v>
      </c>
    </row>
    <row r="6" spans="1:9" x14ac:dyDescent="0.2">
      <c r="A6" s="4" t="s">
        <v>69</v>
      </c>
      <c r="B6" s="4">
        <v>160</v>
      </c>
      <c r="C6" s="4">
        <f>COUNTIF('03-Bilgi Teknolojileri'!$R$3:$R$162,"Dolduruldu")</f>
        <v>0</v>
      </c>
      <c r="D6" s="4">
        <f>COUNTIF('03-Bilgi Teknolojileri'!$R$3:$R$162,"Kısmen Dolduruldu")</f>
        <v>0</v>
      </c>
      <c r="E6" s="4">
        <f>COUNTIF('03-Bilgi Teknolojileri'!$R$3:$R$162,"Bilinmiyor")</f>
        <v>0</v>
      </c>
      <c r="F6" s="4">
        <f>COUNTIF('03-Bilgi Teknolojileri'!$R$3:$R$162,"Uygulanamaz")</f>
        <v>0</v>
      </c>
      <c r="G6" s="4">
        <f t="shared" si="0"/>
        <v>160</v>
      </c>
      <c r="H6" s="5">
        <f t="shared" si="1"/>
        <v>0</v>
      </c>
    </row>
    <row r="7" spans="1:9" x14ac:dyDescent="0.2">
      <c r="A7" s="4" t="s">
        <v>70</v>
      </c>
      <c r="B7" s="4">
        <v>73</v>
      </c>
      <c r="C7" s="4">
        <f>COUNTIF('04-Yazılım Geliştirme'!$R$3:$R$75,"Dolduruldu")</f>
        <v>0</v>
      </c>
      <c r="D7" s="4">
        <f>COUNTIF('04-Yazılım Geliştirme'!$R$3:$R$75,"Kısmen Dolduruldu")</f>
        <v>0</v>
      </c>
      <c r="E7" s="4">
        <f>COUNTIF('04-Yazılım Geliştirme'!$R$3:$R$75,"Bilinmiyor")</f>
        <v>0</v>
      </c>
      <c r="F7" s="4">
        <f>COUNTIF('04-Yazılım Geliştirme'!$R$3:$R$75,"Uygulanamaz")</f>
        <v>0</v>
      </c>
      <c r="G7" s="4">
        <f t="shared" si="0"/>
        <v>73</v>
      </c>
      <c r="H7" s="5">
        <f t="shared" si="1"/>
        <v>0</v>
      </c>
    </row>
    <row r="8" spans="1:9" x14ac:dyDescent="0.2">
      <c r="A8" s="4" t="s">
        <v>71</v>
      </c>
      <c r="B8" s="4">
        <v>55</v>
      </c>
      <c r="C8" s="4">
        <f>COUNTIF('05-Satış'!$R$3:$R$57,"Dolduruldu")</f>
        <v>0</v>
      </c>
      <c r="D8" s="4">
        <f>COUNTIF('05-Satış'!$R$3:$R$57,"Kısmen Dolduruldu")</f>
        <v>0</v>
      </c>
      <c r="E8" s="4">
        <f>COUNTIF('05-Satış'!$R$3:$R$57,"Bilinmiyor")</f>
        <v>0</v>
      </c>
      <c r="F8" s="4">
        <f>COUNTIF('05-Satış'!$R$3:$R$57,"Uygulanamaz")</f>
        <v>0</v>
      </c>
      <c r="G8" s="4">
        <f t="shared" si="0"/>
        <v>55</v>
      </c>
      <c r="H8" s="5">
        <f t="shared" si="1"/>
        <v>0</v>
      </c>
    </row>
    <row r="9" spans="1:9" x14ac:dyDescent="0.2">
      <c r="A9" s="4" t="s">
        <v>72</v>
      </c>
      <c r="B9" s="4">
        <v>65</v>
      </c>
      <c r="C9" s="4">
        <f>COUNTIF('06-Pazarlama'!$R$3:$R$67,"Dolduruldu")</f>
        <v>0</v>
      </c>
      <c r="D9" s="4">
        <f>COUNTIF('06-Pazarlama'!$R$3:$R$67,"Kısmen Dolduruldu")</f>
        <v>0</v>
      </c>
      <c r="E9" s="4">
        <f>COUNTIF('06-Pazarlama'!$R$3:$R$67,"Bilinmiyor")</f>
        <v>0</v>
      </c>
      <c r="F9" s="4">
        <f>COUNTIF('06-Pazarlama'!$R$3:$R$67,"Uygulanamaz")</f>
        <v>0</v>
      </c>
      <c r="G9" s="4">
        <f t="shared" si="0"/>
        <v>65</v>
      </c>
      <c r="H9" s="5">
        <f t="shared" si="1"/>
        <v>0</v>
      </c>
    </row>
    <row r="10" spans="1:9" x14ac:dyDescent="0.2">
      <c r="A10" s="4" t="s">
        <v>73</v>
      </c>
      <c r="B10" s="4">
        <v>40</v>
      </c>
      <c r="C10" s="4">
        <f>COUNTIF('07-Sosyal Medya'!$R$3:$R$42,"Dolduruldu")</f>
        <v>0</v>
      </c>
      <c r="D10" s="4">
        <f>COUNTIF('07-Sosyal Medya'!$R$3:$R$42,"Kısmen Dolduruldu")</f>
        <v>0</v>
      </c>
      <c r="E10" s="4">
        <f>COUNTIF('07-Sosyal Medya'!$R$3:$R$42,"Bilinmiyor")</f>
        <v>0</v>
      </c>
      <c r="F10" s="4">
        <f>COUNTIF('07-Sosyal Medya'!$R$3:$R$42,"Uygulanamaz")</f>
        <v>0</v>
      </c>
      <c r="G10" s="4">
        <f t="shared" si="0"/>
        <v>40</v>
      </c>
      <c r="H10" s="5">
        <f t="shared" si="1"/>
        <v>0</v>
      </c>
    </row>
    <row r="11" spans="1:9" x14ac:dyDescent="0.2">
      <c r="A11" s="4" t="s">
        <v>74</v>
      </c>
      <c r="B11" s="4">
        <v>48</v>
      </c>
      <c r="C11" s="4">
        <f>COUNTIF('08-Muhasebe'!$R$3:$R$50,"Dolduruldu")</f>
        <v>0</v>
      </c>
      <c r="D11" s="4">
        <f>COUNTIF('08-Muhasebe'!$R$3:$R$50,"Kısmen Dolduruldu")</f>
        <v>0</v>
      </c>
      <c r="E11" s="4">
        <f>COUNTIF('08-Muhasebe'!$R$3:$R$50,"Bilinmiyor")</f>
        <v>0</v>
      </c>
      <c r="F11" s="4">
        <f>COUNTIF('08-Muhasebe'!$R$3:$R$50,"Uygulanamaz")</f>
        <v>0</v>
      </c>
      <c r="G11" s="4">
        <f t="shared" si="0"/>
        <v>48</v>
      </c>
      <c r="H11" s="5">
        <f t="shared" si="1"/>
        <v>0</v>
      </c>
    </row>
    <row r="12" spans="1:9" x14ac:dyDescent="0.2">
      <c r="A12" s="4" t="s">
        <v>75</v>
      </c>
      <c r="B12" s="4">
        <v>40</v>
      </c>
      <c r="C12" s="4">
        <f>COUNTIF('09-Satın Alma'!$R$3:$R$42,"Dolduruldu")</f>
        <v>0</v>
      </c>
      <c r="D12" s="4">
        <f>COUNTIF('09-Satın Alma'!$R$3:$R$42,"Kısmen Dolduruldu")</f>
        <v>0</v>
      </c>
      <c r="E12" s="4">
        <f>COUNTIF('09-Satın Alma'!$R$3:$R$42,"Bilinmiyor")</f>
        <v>0</v>
      </c>
      <c r="F12" s="4">
        <f>COUNTIF('09-Satın Alma'!$R$3:$R$42,"Uygulanamaz")</f>
        <v>0</v>
      </c>
      <c r="G12" s="4">
        <f t="shared" si="0"/>
        <v>40</v>
      </c>
      <c r="H12" s="5">
        <f t="shared" si="1"/>
        <v>0</v>
      </c>
    </row>
    <row r="13" spans="1:9" x14ac:dyDescent="0.2">
      <c r="A13" s="4" t="s">
        <v>76</v>
      </c>
      <c r="B13" s="4">
        <v>40</v>
      </c>
      <c r="C13" s="4">
        <f>COUNTIF('10-Hukuk'!$R$3:$R$42,"Dolduruldu")</f>
        <v>0</v>
      </c>
      <c r="D13" s="4">
        <f>COUNTIF('10-Hukuk'!$R$3:$R$42,"Kısmen Dolduruldu")</f>
        <v>0</v>
      </c>
      <c r="E13" s="4">
        <f>COUNTIF('10-Hukuk'!$R$3:$R$42,"Bilinmiyor")</f>
        <v>0</v>
      </c>
      <c r="F13" s="4">
        <f>COUNTIF('10-Hukuk'!$R$3:$R$42,"Uygulanamaz")</f>
        <v>0</v>
      </c>
      <c r="G13" s="4">
        <f t="shared" si="0"/>
        <v>40</v>
      </c>
      <c r="H13" s="5">
        <f t="shared" si="1"/>
        <v>0</v>
      </c>
    </row>
    <row r="14" spans="1:9" x14ac:dyDescent="0.2">
      <c r="A14" s="4" t="s">
        <v>77</v>
      </c>
      <c r="B14" s="4">
        <v>35</v>
      </c>
      <c r="C14" s="4">
        <f>COUNTIF('11-Yönetim'!$R$3:$R$37,"Dolduruldu")</f>
        <v>0</v>
      </c>
      <c r="D14" s="4">
        <f>COUNTIF('11-Yönetim'!$R$3:$R$37,"Kısmen Dolduruldu")</f>
        <v>0</v>
      </c>
      <c r="E14" s="4">
        <f>COUNTIF('11-Yönetim'!$R$3:$R$37,"Bilinmiyor")</f>
        <v>0</v>
      </c>
      <c r="F14" s="4">
        <f>COUNTIF('11-Yönetim'!$R$3:$R$37,"Uygulanamaz")</f>
        <v>0</v>
      </c>
      <c r="G14" s="4">
        <f t="shared" si="0"/>
        <v>35</v>
      </c>
      <c r="H14" s="5">
        <f t="shared" si="1"/>
        <v>0</v>
      </c>
    </row>
    <row r="15" spans="1:9" x14ac:dyDescent="0.2">
      <c r="A15" s="4" t="s">
        <v>78</v>
      </c>
      <c r="B15" s="4">
        <v>40</v>
      </c>
      <c r="C15" s="4">
        <f>COUNTIF('12-Güvenlik'!$R$3:$R$42,"Dolduruldu")</f>
        <v>0</v>
      </c>
      <c r="D15" s="4">
        <f>COUNTIF('12-Güvenlik'!$R$3:$R$42,"Kısmen Dolduruldu")</f>
        <v>0</v>
      </c>
      <c r="E15" s="4">
        <f>COUNTIF('12-Güvenlik'!$R$3:$R$42,"Bilinmiyor")</f>
        <v>0</v>
      </c>
      <c r="F15" s="4">
        <f>COUNTIF('12-Güvenlik'!$R$3:$R$42,"Uygulanamaz")</f>
        <v>0</v>
      </c>
      <c r="G15" s="4">
        <f t="shared" si="0"/>
        <v>40</v>
      </c>
      <c r="H15" s="5">
        <f t="shared" si="1"/>
        <v>0</v>
      </c>
    </row>
    <row r="16" spans="1:9" x14ac:dyDescent="0.2">
      <c r="A16" s="4" t="s">
        <v>79</v>
      </c>
      <c r="B16" s="4">
        <v>25</v>
      </c>
      <c r="C16" s="4">
        <f>COUNTIF('13-Temizlik'!$R$3:$R$27,"Dolduruldu")</f>
        <v>0</v>
      </c>
      <c r="D16" s="4">
        <f>COUNTIF('13-Temizlik'!$R$3:$R$27,"Kısmen Dolduruldu")</f>
        <v>0</v>
      </c>
      <c r="E16" s="4">
        <f>COUNTIF('13-Temizlik'!$R$3:$R$27,"Bilinmiyor")</f>
        <v>0</v>
      </c>
      <c r="F16" s="4">
        <f>COUNTIF('13-Temizlik'!$R$3:$R$27,"Uygulanamaz")</f>
        <v>0</v>
      </c>
      <c r="G16" s="4">
        <f t="shared" si="0"/>
        <v>25</v>
      </c>
      <c r="H16" s="5">
        <f t="shared" si="1"/>
        <v>0</v>
      </c>
    </row>
    <row r="17" spans="1:8" x14ac:dyDescent="0.2">
      <c r="A17" s="4" t="s">
        <v>80</v>
      </c>
      <c r="B17" s="4">
        <v>57</v>
      </c>
      <c r="C17" s="4">
        <f>COUNTIF('14-Entegrasyonlar'!$N$3:$N$59,"Dolduruldu")</f>
        <v>0</v>
      </c>
      <c r="D17" s="4">
        <f>COUNTIF('14-Entegrasyonlar'!$N$3:$N$59,"Kısmen Dolduruldu")</f>
        <v>0</v>
      </c>
      <c r="E17" s="4">
        <f>COUNTIF('14-Entegrasyonlar'!$N$3:$N$59,"Bilinmiyor")</f>
        <v>0</v>
      </c>
      <c r="F17" s="4">
        <f>COUNTIF('14-Entegrasyonlar'!$N$3:$N$59,"Uygulanamaz")</f>
        <v>0</v>
      </c>
      <c r="G17" s="4">
        <f t="shared" si="0"/>
        <v>57</v>
      </c>
      <c r="H17" s="5">
        <f t="shared" si="1"/>
        <v>0</v>
      </c>
    </row>
    <row r="18" spans="1:8" x14ac:dyDescent="0.2">
      <c r="A18" s="4" t="s">
        <v>81</v>
      </c>
      <c r="B18" s="4">
        <v>75</v>
      </c>
      <c r="C18" s="4">
        <f>COUNTIF('15-Kanıt Belgeleri'!$F$3:$F$77,"Eklendi")</f>
        <v>0</v>
      </c>
      <c r="D18" s="4">
        <f>COUNTIF('15-Kanıt Belgeleri'!$F$3:$F$77,"Eklenecek")</f>
        <v>0</v>
      </c>
      <c r="E18" s="4">
        <v>0</v>
      </c>
      <c r="F18" s="4">
        <f>COUNTIF('15-Kanıt Belgeleri'!$F$3:$F$77,"Uygulanamaz")</f>
        <v>0</v>
      </c>
      <c r="G18" s="4">
        <f t="shared" si="0"/>
        <v>75</v>
      </c>
      <c r="H18" s="5">
        <f t="shared" si="1"/>
        <v>0</v>
      </c>
    </row>
    <row r="19" spans="1:8" x14ac:dyDescent="0.2">
      <c r="A19" s="6" t="s">
        <v>82</v>
      </c>
      <c r="B19" s="4">
        <f t="shared" ref="B19:G19" si="2">SUM(B4:B18)</f>
        <v>904</v>
      </c>
      <c r="C19" s="4">
        <f t="shared" si="2"/>
        <v>0</v>
      </c>
      <c r="D19" s="4">
        <f t="shared" si="2"/>
        <v>0</v>
      </c>
      <c r="E19" s="4">
        <f t="shared" si="2"/>
        <v>0</v>
      </c>
      <c r="F19" s="4">
        <f t="shared" si="2"/>
        <v>0</v>
      </c>
      <c r="G19" s="4">
        <f t="shared" si="2"/>
        <v>904</v>
      </c>
      <c r="H19" s="5">
        <f t="shared" si="1"/>
        <v>0</v>
      </c>
    </row>
    <row r="22" spans="1:8" ht="16" x14ac:dyDescent="0.2">
      <c r="A22" s="7" t="s">
        <v>83</v>
      </c>
    </row>
    <row r="23" spans="1:8" ht="30" customHeight="1" x14ac:dyDescent="0.2">
      <c r="A23" s="3" t="s">
        <v>59</v>
      </c>
      <c r="B23" s="3" t="s">
        <v>84</v>
      </c>
      <c r="C23" s="3" t="s">
        <v>85</v>
      </c>
      <c r="D23" s="3" t="s">
        <v>86</v>
      </c>
      <c r="E23" s="3" t="s">
        <v>87</v>
      </c>
    </row>
    <row r="24" spans="1:8" x14ac:dyDescent="0.2">
      <c r="A24" s="4" t="s">
        <v>67</v>
      </c>
      <c r="B24" s="4">
        <f>COUNTIF('01-Genel-Sirket'!$K$3:$K$47,"Evet")</f>
        <v>0</v>
      </c>
      <c r="C24" s="4">
        <f>COUNTIF('01-Genel-Sirket'!$L$3:$L$47,"Belirlenmedi / Bilinmiyor")</f>
        <v>0</v>
      </c>
      <c r="D24" s="4">
        <f>COUNTIF('01-Genel-Sirket'!$N$3:$N$47,"Yok")</f>
        <v>0</v>
      </c>
      <c r="E24" s="4">
        <f>COUNTIF('01-Genel-Sirket'!$O$3:$O$47,"Eklenecek")</f>
        <v>0</v>
      </c>
    </row>
    <row r="25" spans="1:8" x14ac:dyDescent="0.2">
      <c r="A25" s="4" t="s">
        <v>68</v>
      </c>
      <c r="B25" s="4">
        <f>COUNTIF('02-İnsan Kaynakları'!$K$3:$K$108,"Evet")</f>
        <v>0</v>
      </c>
      <c r="C25" s="4">
        <f>COUNTIF('02-İnsan Kaynakları'!$L$3:$L$108,"Belirlenmedi / Bilinmiyor")</f>
        <v>0</v>
      </c>
      <c r="D25" s="4">
        <f>COUNTIF('02-İnsan Kaynakları'!$N$3:$N$108,"Yok")</f>
        <v>0</v>
      </c>
      <c r="E25" s="4">
        <f>COUNTIF('02-İnsan Kaynakları'!$O$3:$O$108,"Eklenecek")</f>
        <v>0</v>
      </c>
    </row>
    <row r="26" spans="1:8" x14ac:dyDescent="0.2">
      <c r="A26" s="4" t="s">
        <v>69</v>
      </c>
      <c r="B26" s="4">
        <f>COUNTIF('03-Bilgi Teknolojileri'!$K$3:$K$162,"Evet")</f>
        <v>0</v>
      </c>
      <c r="C26" s="4">
        <f>COUNTIF('03-Bilgi Teknolojileri'!$L$3:$L$162,"Belirlenmedi / Bilinmiyor")</f>
        <v>0</v>
      </c>
      <c r="D26" s="4">
        <f>COUNTIF('03-Bilgi Teknolojileri'!$N$3:$N$162,"Yok")</f>
        <v>0</v>
      </c>
      <c r="E26" s="4">
        <f>COUNTIF('03-Bilgi Teknolojileri'!$O$3:$O$162,"Eklenecek")</f>
        <v>0</v>
      </c>
    </row>
    <row r="27" spans="1:8" x14ac:dyDescent="0.2">
      <c r="A27" s="4" t="s">
        <v>70</v>
      </c>
      <c r="B27" s="4">
        <f>COUNTIF('04-Yazılım Geliştirme'!$K$3:$K$75,"Evet")</f>
        <v>0</v>
      </c>
      <c r="C27" s="4">
        <f>COUNTIF('04-Yazılım Geliştirme'!$L$3:$L$75,"Belirlenmedi / Bilinmiyor")</f>
        <v>0</v>
      </c>
      <c r="D27" s="4">
        <f>COUNTIF('04-Yazılım Geliştirme'!$N$3:$N$75,"Yok")</f>
        <v>0</v>
      </c>
      <c r="E27" s="4">
        <f>COUNTIF('04-Yazılım Geliştirme'!$O$3:$O$75,"Eklenecek")</f>
        <v>0</v>
      </c>
    </row>
    <row r="28" spans="1:8" x14ac:dyDescent="0.2">
      <c r="A28" s="4" t="s">
        <v>71</v>
      </c>
      <c r="B28" s="4">
        <f>COUNTIF('05-Satış'!$K$3:$K$57,"Evet")</f>
        <v>0</v>
      </c>
      <c r="C28" s="4">
        <f>COUNTIF('05-Satış'!$L$3:$L$57,"Belirlenmedi / Bilinmiyor")</f>
        <v>0</v>
      </c>
      <c r="D28" s="4">
        <f>COUNTIF('05-Satış'!$N$3:$N$57,"Yok")</f>
        <v>0</v>
      </c>
      <c r="E28" s="4">
        <f>COUNTIF('05-Satış'!$O$3:$O$57,"Eklenecek")</f>
        <v>0</v>
      </c>
    </row>
    <row r="29" spans="1:8" x14ac:dyDescent="0.2">
      <c r="A29" s="4" t="s">
        <v>72</v>
      </c>
      <c r="B29" s="4">
        <f>COUNTIF('06-Pazarlama'!$K$3:$K$67,"Evet")</f>
        <v>0</v>
      </c>
      <c r="C29" s="4">
        <f>COUNTIF('06-Pazarlama'!$L$3:$L$67,"Belirlenmedi / Bilinmiyor")</f>
        <v>0</v>
      </c>
      <c r="D29" s="4">
        <f>COUNTIF('06-Pazarlama'!$N$3:$N$67,"Yok")</f>
        <v>0</v>
      </c>
      <c r="E29" s="4">
        <f>COUNTIF('06-Pazarlama'!$O$3:$O$67,"Eklenecek")</f>
        <v>0</v>
      </c>
    </row>
    <row r="30" spans="1:8" x14ac:dyDescent="0.2">
      <c r="A30" s="4" t="s">
        <v>73</v>
      </c>
      <c r="B30" s="4">
        <f>COUNTIF('07-Sosyal Medya'!$K$3:$K$42,"Evet")</f>
        <v>0</v>
      </c>
      <c r="C30" s="4">
        <f>COUNTIF('07-Sosyal Medya'!$L$3:$L$42,"Belirlenmedi / Bilinmiyor")</f>
        <v>0</v>
      </c>
      <c r="D30" s="4">
        <f>COUNTIF('07-Sosyal Medya'!$N$3:$N$42,"Yok")</f>
        <v>0</v>
      </c>
      <c r="E30" s="4">
        <f>COUNTIF('07-Sosyal Medya'!$O$3:$O$42,"Eklenecek")</f>
        <v>0</v>
      </c>
    </row>
    <row r="31" spans="1:8" x14ac:dyDescent="0.2">
      <c r="A31" s="4" t="s">
        <v>74</v>
      </c>
      <c r="B31" s="4">
        <f>COUNTIF('08-Muhasebe'!$K$3:$K$50,"Evet")</f>
        <v>0</v>
      </c>
      <c r="C31" s="4">
        <f>COUNTIF('08-Muhasebe'!$L$3:$L$50,"Belirlenmedi / Bilinmiyor")</f>
        <v>0</v>
      </c>
      <c r="D31" s="4">
        <f>COUNTIF('08-Muhasebe'!$N$3:$N$50,"Yok")</f>
        <v>0</v>
      </c>
      <c r="E31" s="4">
        <f>COUNTIF('08-Muhasebe'!$O$3:$O$50,"Eklenecek")</f>
        <v>0</v>
      </c>
    </row>
    <row r="32" spans="1:8" x14ac:dyDescent="0.2">
      <c r="A32" s="4" t="s">
        <v>75</v>
      </c>
      <c r="B32" s="4">
        <f>COUNTIF('09-Satın Alma'!$K$3:$K$42,"Evet")</f>
        <v>0</v>
      </c>
      <c r="C32" s="4">
        <f>COUNTIF('09-Satın Alma'!$L$3:$L$42,"Belirlenmedi / Bilinmiyor")</f>
        <v>0</v>
      </c>
      <c r="D32" s="4">
        <f>COUNTIF('09-Satın Alma'!$N$3:$N$42,"Yok")</f>
        <v>0</v>
      </c>
      <c r="E32" s="4">
        <f>COUNTIF('09-Satın Alma'!$O$3:$O$42,"Eklenecek")</f>
        <v>0</v>
      </c>
    </row>
    <row r="33" spans="1:5" x14ac:dyDescent="0.2">
      <c r="A33" s="4" t="s">
        <v>76</v>
      </c>
      <c r="B33" s="4">
        <f>COUNTIF('10-Hukuk'!$K$3:$K$42,"Evet")</f>
        <v>0</v>
      </c>
      <c r="C33" s="4">
        <f>COUNTIF('10-Hukuk'!$L$3:$L$42,"Belirlenmedi / Bilinmiyor")</f>
        <v>0</v>
      </c>
      <c r="D33" s="4">
        <f>COUNTIF('10-Hukuk'!$N$3:$N$42,"Yok")</f>
        <v>0</v>
      </c>
      <c r="E33" s="4">
        <f>COUNTIF('10-Hukuk'!$O$3:$O$42,"Eklenecek")</f>
        <v>0</v>
      </c>
    </row>
    <row r="34" spans="1:5" x14ac:dyDescent="0.2">
      <c r="A34" s="4" t="s">
        <v>77</v>
      </c>
      <c r="B34" s="4">
        <f>COUNTIF('11-Yönetim'!$K$3:$K$37,"Evet")</f>
        <v>0</v>
      </c>
      <c r="C34" s="4">
        <f>COUNTIF('11-Yönetim'!$L$3:$L$37,"Belirlenmedi / Bilinmiyor")</f>
        <v>0</v>
      </c>
      <c r="D34" s="4">
        <f>COUNTIF('11-Yönetim'!$N$3:$N$37,"Yok")</f>
        <v>0</v>
      </c>
      <c r="E34" s="4">
        <f>COUNTIF('11-Yönetim'!$O$3:$O$37,"Eklenecek")</f>
        <v>0</v>
      </c>
    </row>
    <row r="35" spans="1:5" x14ac:dyDescent="0.2">
      <c r="A35" s="4" t="s">
        <v>78</v>
      </c>
      <c r="B35" s="4">
        <f>COUNTIF('12-Güvenlik'!$K$3:$K$42,"Evet")</f>
        <v>0</v>
      </c>
      <c r="C35" s="4">
        <f>COUNTIF('12-Güvenlik'!$L$3:$L$42,"Belirlenmedi / Bilinmiyor")</f>
        <v>0</v>
      </c>
      <c r="D35" s="4">
        <f>COUNTIF('12-Güvenlik'!$N$3:$N$42,"Yok")</f>
        <v>0</v>
      </c>
      <c r="E35" s="4">
        <f>COUNTIF('12-Güvenlik'!$O$3:$O$42,"Eklenecek")</f>
        <v>0</v>
      </c>
    </row>
    <row r="36" spans="1:5" x14ac:dyDescent="0.2">
      <c r="A36" s="4" t="s">
        <v>79</v>
      </c>
      <c r="B36" s="4">
        <f>COUNTIF('13-Temizlik'!$K$3:$K$27,"Evet")</f>
        <v>0</v>
      </c>
      <c r="C36" s="4">
        <f>COUNTIF('13-Temizlik'!$L$3:$L$27,"Belirlenmedi / Bilinmiyor")</f>
        <v>0</v>
      </c>
      <c r="D36" s="4">
        <f>COUNTIF('13-Temizlik'!$N$3:$N$27,"Yok")</f>
        <v>0</v>
      </c>
      <c r="E36" s="4">
        <f>COUNTIF('13-Temizlik'!$O$3:$O$27,"Eklenecek")</f>
        <v>0</v>
      </c>
    </row>
    <row r="37" spans="1:5" x14ac:dyDescent="0.2">
      <c r="A37" s="4" t="s">
        <v>80</v>
      </c>
      <c r="B37" s="4">
        <f>COUNTIF('14-Entegrasyonlar'!$J$3:$J$59,"Evet")</f>
        <v>0</v>
      </c>
      <c r="C37" s="4">
        <f>COUNTIF('14-Entegrasyonlar'!$K$3:$K$59,"Yok")</f>
        <v>0</v>
      </c>
      <c r="D37" s="4">
        <v>0</v>
      </c>
      <c r="E37" s="4">
        <v>0</v>
      </c>
    </row>
    <row r="39" spans="1:5" x14ac:dyDescent="0.2">
      <c r="A39" s="8" t="s">
        <v>88</v>
      </c>
    </row>
  </sheetData>
  <mergeCells count="1">
    <mergeCell ref="A1:I1"/>
  </mergeCells>
  <conditionalFormatting sqref="B24:E37">
    <cfRule type="cellIs" dxfId="74" priority="3" operator="greaterThan">
      <formula>0</formula>
    </cfRule>
  </conditionalFormatting>
  <conditionalFormatting sqref="H4:H19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8080"/>
  </sheetPr>
  <dimension ref="A1:R47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4" sqref="E34"/>
    </sheetView>
  </sheetViews>
  <sheetFormatPr baseColWidth="10" defaultColWidth="8.6640625" defaultRowHeight="15" x14ac:dyDescent="0.2"/>
  <cols>
    <col min="1" max="1" width="5" customWidth="1"/>
    <col min="2" max="2" width="16" customWidth="1"/>
    <col min="3" max="3" width="52" customWidth="1"/>
    <col min="4" max="4" width="10" customWidth="1"/>
    <col min="5" max="5" width="36" customWidth="1"/>
    <col min="6" max="6" width="26" customWidth="1"/>
    <col min="7" max="7" width="22" customWidth="1"/>
    <col min="8" max="10" width="20" customWidth="1"/>
    <col min="11" max="11" width="14" customWidth="1"/>
    <col min="12" max="12" width="30" customWidth="1"/>
    <col min="13" max="13" width="20" customWidth="1"/>
    <col min="14" max="15" width="12" customWidth="1"/>
    <col min="16" max="16" width="26" customWidth="1"/>
    <col min="17" max="17" width="14" customWidth="1"/>
    <col min="18" max="18" width="15" customWidth="1"/>
  </cols>
  <sheetData>
    <row r="1" spans="1:18" ht="24" customHeight="1" x14ac:dyDescent="0.2">
      <c r="A1" s="24" t="s">
        <v>89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30" customHeight="1" x14ac:dyDescent="0.2">
      <c r="A2" s="3" t="s">
        <v>90</v>
      </c>
      <c r="B2" s="3" t="s">
        <v>91</v>
      </c>
      <c r="C2" s="3" t="s">
        <v>92</v>
      </c>
      <c r="D2" s="3" t="s">
        <v>93</v>
      </c>
      <c r="E2" s="3" t="s">
        <v>94</v>
      </c>
      <c r="F2" s="3" t="s">
        <v>95</v>
      </c>
      <c r="G2" s="3" t="s">
        <v>96</v>
      </c>
      <c r="H2" s="3" t="s">
        <v>97</v>
      </c>
      <c r="I2" s="3" t="s">
        <v>98</v>
      </c>
      <c r="J2" s="3" t="s">
        <v>99</v>
      </c>
      <c r="K2" s="3" t="s">
        <v>100</v>
      </c>
      <c r="L2" s="3" t="s">
        <v>101</v>
      </c>
      <c r="M2" s="3" t="s">
        <v>102</v>
      </c>
      <c r="N2" s="3" t="s">
        <v>103</v>
      </c>
      <c r="O2" s="3" t="s">
        <v>104</v>
      </c>
      <c r="P2" s="3" t="s">
        <v>105</v>
      </c>
      <c r="Q2" s="3" t="s">
        <v>106</v>
      </c>
      <c r="R2" s="3" t="s">
        <v>107</v>
      </c>
    </row>
    <row r="3" spans="1:18" x14ac:dyDescent="0.2">
      <c r="A3" s="9">
        <v>1</v>
      </c>
      <c r="B3" s="10" t="s">
        <v>108</v>
      </c>
      <c r="C3" s="11" t="s">
        <v>109</v>
      </c>
      <c r="D3" s="12" t="s">
        <v>110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x14ac:dyDescent="0.2">
      <c r="A4" s="9">
        <v>2</v>
      </c>
      <c r="B4" s="10" t="s">
        <v>108</v>
      </c>
      <c r="C4" s="11" t="s">
        <v>111</v>
      </c>
      <c r="D4" s="12" t="s">
        <v>110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x14ac:dyDescent="0.2">
      <c r="A5" s="9">
        <v>3</v>
      </c>
      <c r="B5" s="10" t="s">
        <v>108</v>
      </c>
      <c r="C5" s="11" t="s">
        <v>112</v>
      </c>
      <c r="D5" s="12" t="s">
        <v>110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ht="28" x14ac:dyDescent="0.2">
      <c r="A6" s="9">
        <v>4</v>
      </c>
      <c r="B6" s="10" t="s">
        <v>108</v>
      </c>
      <c r="C6" s="11" t="s">
        <v>113</v>
      </c>
      <c r="D6" s="12" t="s">
        <v>110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x14ac:dyDescent="0.2">
      <c r="A7" s="9">
        <v>5</v>
      </c>
      <c r="B7" s="10" t="s">
        <v>108</v>
      </c>
      <c r="C7" s="11" t="s">
        <v>114</v>
      </c>
      <c r="D7" s="12" t="s">
        <v>110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x14ac:dyDescent="0.2">
      <c r="A8" s="9">
        <v>6</v>
      </c>
      <c r="B8" s="10" t="s">
        <v>108</v>
      </c>
      <c r="C8" s="11" t="s">
        <v>115</v>
      </c>
      <c r="D8" s="12" t="s">
        <v>110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ht="28" x14ac:dyDescent="0.2">
      <c r="A9" s="9">
        <v>7</v>
      </c>
      <c r="B9" s="10" t="s">
        <v>108</v>
      </c>
      <c r="C9" s="11" t="s">
        <v>116</v>
      </c>
      <c r="D9" s="12" t="s">
        <v>110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ht="28" x14ac:dyDescent="0.2">
      <c r="A10" s="9">
        <v>8</v>
      </c>
      <c r="B10" s="10" t="s">
        <v>108</v>
      </c>
      <c r="C10" s="11" t="s">
        <v>117</v>
      </c>
      <c r="D10" s="12" t="s">
        <v>110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ht="28" x14ac:dyDescent="0.2">
      <c r="A11" s="9">
        <v>9</v>
      </c>
      <c r="B11" s="10" t="s">
        <v>108</v>
      </c>
      <c r="C11" s="11" t="s">
        <v>118</v>
      </c>
      <c r="D11" s="12" t="s">
        <v>110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2">
      <c r="A12" s="9">
        <v>10</v>
      </c>
      <c r="B12" s="10" t="s">
        <v>108</v>
      </c>
      <c r="C12" s="11" t="s">
        <v>119</v>
      </c>
      <c r="D12" s="13" t="s">
        <v>120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x14ac:dyDescent="0.2">
      <c r="A13" s="9">
        <v>11</v>
      </c>
      <c r="B13" s="10" t="s">
        <v>121</v>
      </c>
      <c r="C13" s="11" t="s">
        <v>122</v>
      </c>
      <c r="D13" s="12" t="s">
        <v>110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x14ac:dyDescent="0.2">
      <c r="A14" s="9">
        <v>12</v>
      </c>
      <c r="B14" s="10" t="s">
        <v>121</v>
      </c>
      <c r="C14" s="11" t="s">
        <v>123</v>
      </c>
      <c r="D14" s="12" t="s">
        <v>110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x14ac:dyDescent="0.2">
      <c r="A15" s="9">
        <v>13</v>
      </c>
      <c r="B15" s="10" t="s">
        <v>121</v>
      </c>
      <c r="C15" s="11" t="s">
        <v>124</v>
      </c>
      <c r="D15" s="12" t="s">
        <v>110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ht="28" x14ac:dyDescent="0.2">
      <c r="A16" s="9">
        <v>14</v>
      </c>
      <c r="B16" s="10" t="s">
        <v>121</v>
      </c>
      <c r="C16" s="11" t="s">
        <v>125</v>
      </c>
      <c r="D16" s="12" t="s">
        <v>110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x14ac:dyDescent="0.2">
      <c r="A17" s="9">
        <v>15</v>
      </c>
      <c r="B17" s="10" t="s">
        <v>121</v>
      </c>
      <c r="C17" s="11" t="s">
        <v>126</v>
      </c>
      <c r="D17" s="12" t="s">
        <v>110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ht="28" x14ac:dyDescent="0.2">
      <c r="A18" s="9">
        <v>16</v>
      </c>
      <c r="B18" s="10" t="s">
        <v>121</v>
      </c>
      <c r="C18" s="11" t="s">
        <v>127</v>
      </c>
      <c r="D18" s="12" t="s">
        <v>110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ht="28" x14ac:dyDescent="0.2">
      <c r="A19" s="9">
        <v>17</v>
      </c>
      <c r="B19" s="10" t="s">
        <v>121</v>
      </c>
      <c r="C19" s="11" t="s">
        <v>128</v>
      </c>
      <c r="D19" s="13" t="s">
        <v>120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x14ac:dyDescent="0.2">
      <c r="A20" s="9">
        <v>18</v>
      </c>
      <c r="B20" s="10" t="s">
        <v>129</v>
      </c>
      <c r="C20" s="11" t="s">
        <v>130</v>
      </c>
      <c r="D20" s="12" t="s">
        <v>110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ht="28" x14ac:dyDescent="0.2">
      <c r="A21" s="9">
        <v>19</v>
      </c>
      <c r="B21" s="10" t="s">
        <v>129</v>
      </c>
      <c r="C21" s="11" t="s">
        <v>131</v>
      </c>
      <c r="D21" s="12" t="s">
        <v>110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x14ac:dyDescent="0.2">
      <c r="A22" s="9">
        <v>20</v>
      </c>
      <c r="B22" s="10" t="s">
        <v>129</v>
      </c>
      <c r="C22" s="11" t="s">
        <v>132</v>
      </c>
      <c r="D22" s="12" t="s">
        <v>110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x14ac:dyDescent="0.2">
      <c r="A23" s="9">
        <v>21</v>
      </c>
      <c r="B23" s="10" t="s">
        <v>129</v>
      </c>
      <c r="C23" s="11" t="s">
        <v>133</v>
      </c>
      <c r="D23" s="12" t="s">
        <v>110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ht="28" x14ac:dyDescent="0.2">
      <c r="A24" s="9">
        <v>22</v>
      </c>
      <c r="B24" s="10" t="s">
        <v>134</v>
      </c>
      <c r="C24" s="11" t="s">
        <v>135</v>
      </c>
      <c r="D24" s="13" t="s">
        <v>120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ht="28" x14ac:dyDescent="0.2">
      <c r="A25" s="9">
        <v>23</v>
      </c>
      <c r="B25" s="10" t="s">
        <v>134</v>
      </c>
      <c r="C25" s="11" t="s">
        <v>136</v>
      </c>
      <c r="D25" s="13" t="s">
        <v>120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ht="28" x14ac:dyDescent="0.2">
      <c r="A26" s="9">
        <v>24</v>
      </c>
      <c r="B26" s="10" t="s">
        <v>134</v>
      </c>
      <c r="C26" s="11" t="s">
        <v>137</v>
      </c>
      <c r="D26" s="13" t="s">
        <v>120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ht="28" x14ac:dyDescent="0.2">
      <c r="A27" s="9">
        <v>25</v>
      </c>
      <c r="B27" s="10" t="s">
        <v>134</v>
      </c>
      <c r="C27" s="11" t="s">
        <v>138</v>
      </c>
      <c r="D27" s="13" t="s">
        <v>120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ht="28" x14ac:dyDescent="0.2">
      <c r="A28" s="9">
        <v>26</v>
      </c>
      <c r="B28" s="10" t="s">
        <v>139</v>
      </c>
      <c r="C28" s="11" t="s">
        <v>140</v>
      </c>
      <c r="D28" s="12" t="s">
        <v>110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ht="28" x14ac:dyDescent="0.2">
      <c r="A29" s="9">
        <v>27</v>
      </c>
      <c r="B29" s="10" t="s">
        <v>139</v>
      </c>
      <c r="C29" s="11" t="s">
        <v>141</v>
      </c>
      <c r="D29" s="13" t="s">
        <v>120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ht="28" x14ac:dyDescent="0.2">
      <c r="A30" s="9">
        <v>28</v>
      </c>
      <c r="B30" s="10" t="s">
        <v>139</v>
      </c>
      <c r="C30" s="11" t="s">
        <v>142</v>
      </c>
      <c r="D30" s="12" t="s">
        <v>110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 ht="28" x14ac:dyDescent="0.2">
      <c r="A31" s="9">
        <v>29</v>
      </c>
      <c r="B31" s="10" t="s">
        <v>139</v>
      </c>
      <c r="C31" s="11" t="s">
        <v>143</v>
      </c>
      <c r="D31" s="12" t="s">
        <v>110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ht="28" x14ac:dyDescent="0.2">
      <c r="A32" s="9">
        <v>30</v>
      </c>
      <c r="B32" s="10" t="s">
        <v>139</v>
      </c>
      <c r="C32" s="11" t="s">
        <v>144</v>
      </c>
      <c r="D32" s="13" t="s">
        <v>120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1:18" ht="28" x14ac:dyDescent="0.2">
      <c r="A33" s="9">
        <v>31</v>
      </c>
      <c r="B33" s="10" t="s">
        <v>145</v>
      </c>
      <c r="C33" s="11" t="s">
        <v>146</v>
      </c>
      <c r="D33" s="12" t="s">
        <v>110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 ht="28" x14ac:dyDescent="0.2">
      <c r="A34" s="9">
        <v>32</v>
      </c>
      <c r="B34" s="10" t="s">
        <v>145</v>
      </c>
      <c r="C34" s="11" t="s">
        <v>147</v>
      </c>
      <c r="D34" s="12" t="s">
        <v>110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1:18" ht="28" x14ac:dyDescent="0.2">
      <c r="A35" s="9">
        <v>33</v>
      </c>
      <c r="B35" s="10" t="s">
        <v>145</v>
      </c>
      <c r="C35" s="11" t="s">
        <v>148</v>
      </c>
      <c r="D35" s="12" t="s">
        <v>110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1:18" ht="28" x14ac:dyDescent="0.2">
      <c r="A36" s="9">
        <v>34</v>
      </c>
      <c r="B36" s="10" t="s">
        <v>145</v>
      </c>
      <c r="C36" s="11" t="s">
        <v>149</v>
      </c>
      <c r="D36" s="12" t="s">
        <v>110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 ht="28" x14ac:dyDescent="0.2">
      <c r="A37" s="9">
        <v>35</v>
      </c>
      <c r="B37" s="10" t="s">
        <v>145</v>
      </c>
      <c r="C37" s="11" t="s">
        <v>150</v>
      </c>
      <c r="D37" s="13" t="s">
        <v>120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 ht="28" x14ac:dyDescent="0.2">
      <c r="A38" s="9">
        <v>36</v>
      </c>
      <c r="B38" s="10" t="s">
        <v>145</v>
      </c>
      <c r="C38" s="11" t="s">
        <v>151</v>
      </c>
      <c r="D38" s="12" t="s">
        <v>110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1:18" ht="28" x14ac:dyDescent="0.2">
      <c r="A39" s="9">
        <v>37</v>
      </c>
      <c r="B39" s="10" t="s">
        <v>152</v>
      </c>
      <c r="C39" s="11" t="s">
        <v>153</v>
      </c>
      <c r="D39" s="12" t="s">
        <v>110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 ht="28" x14ac:dyDescent="0.2">
      <c r="A40" s="9">
        <v>38</v>
      </c>
      <c r="B40" s="10" t="s">
        <v>152</v>
      </c>
      <c r="C40" s="11" t="s">
        <v>154</v>
      </c>
      <c r="D40" s="12" t="s">
        <v>110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 ht="28" x14ac:dyDescent="0.2">
      <c r="A41" s="9">
        <v>39</v>
      </c>
      <c r="B41" s="10" t="s">
        <v>152</v>
      </c>
      <c r="C41" s="11" t="s">
        <v>155</v>
      </c>
      <c r="D41" s="12" t="s">
        <v>110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</row>
    <row r="42" spans="1:18" ht="28" x14ac:dyDescent="0.2">
      <c r="A42" s="9">
        <v>40</v>
      </c>
      <c r="B42" s="10" t="s">
        <v>152</v>
      </c>
      <c r="C42" s="11" t="s">
        <v>156</v>
      </c>
      <c r="D42" s="12" t="s">
        <v>110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</row>
    <row r="43" spans="1:18" ht="28" x14ac:dyDescent="0.2">
      <c r="A43" s="9">
        <v>41</v>
      </c>
      <c r="B43" s="10" t="s">
        <v>152</v>
      </c>
      <c r="C43" s="11" t="s">
        <v>157</v>
      </c>
      <c r="D43" s="12" t="s">
        <v>110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</row>
    <row r="44" spans="1:18" ht="28" x14ac:dyDescent="0.2">
      <c r="A44" s="9">
        <v>42</v>
      </c>
      <c r="B44" s="10" t="s">
        <v>152</v>
      </c>
      <c r="C44" s="11" t="s">
        <v>158</v>
      </c>
      <c r="D44" s="12" t="s">
        <v>110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1:18" ht="28" x14ac:dyDescent="0.2">
      <c r="A45" s="9">
        <v>43</v>
      </c>
      <c r="B45" s="10" t="s">
        <v>159</v>
      </c>
      <c r="C45" s="11" t="s">
        <v>160</v>
      </c>
      <c r="D45" s="12" t="s">
        <v>110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</row>
    <row r="46" spans="1:18" ht="28" x14ac:dyDescent="0.2">
      <c r="A46" s="9">
        <v>44</v>
      </c>
      <c r="B46" s="10" t="s">
        <v>159</v>
      </c>
      <c r="C46" s="11" t="s">
        <v>161</v>
      </c>
      <c r="D46" s="12" t="s">
        <v>110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</row>
    <row r="47" spans="1:18" ht="28" x14ac:dyDescent="0.2">
      <c r="A47" s="9">
        <v>45</v>
      </c>
      <c r="B47" s="10" t="s">
        <v>159</v>
      </c>
      <c r="C47" s="11" t="s">
        <v>162</v>
      </c>
      <c r="D47" s="12" t="s">
        <v>110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</row>
  </sheetData>
  <autoFilter ref="A2:R47" xr:uid="{00000000-0009-0000-0000-000002000000}"/>
  <mergeCells count="1">
    <mergeCell ref="A1:R1"/>
  </mergeCells>
  <conditionalFormatting sqref="K3:K47">
    <cfRule type="cellIs" dxfId="73" priority="6" operator="equal">
      <formula>"Evet"</formula>
    </cfRule>
  </conditionalFormatting>
  <conditionalFormatting sqref="R3:R47">
    <cfRule type="cellIs" dxfId="72" priority="2" operator="equal">
      <formula>"Dolduruldu"</formula>
    </cfRule>
    <cfRule type="cellIs" dxfId="71" priority="3" operator="equal">
      <formula>"Kısmen Dolduruldu"</formula>
    </cfRule>
    <cfRule type="cellIs" dxfId="70" priority="4" operator="equal">
      <formula>"Bilinmiyor"</formula>
    </cfRule>
    <cfRule type="cellIs" dxfId="69" priority="5" operator="equal">
      <formula>"Uygulanamaz"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00000000-0002-0000-0200-000000000000}">
          <x14:formula1>
            <xm:f>Listeler!$A$2:$A$18</xm:f>
          </x14:formula1>
          <x14:formula2>
            <xm:f>0</xm:f>
          </x14:formula2>
          <xm:sqref>G3:G57</xm:sqref>
        </x14:dataValidation>
        <x14:dataValidation type="list" allowBlank="1" showErrorMessage="1" xr:uid="{00000000-0002-0000-0200-000001000000}">
          <x14:formula1>
            <xm:f>Listeler!$B$2:$B$9</xm:f>
          </x14:formula1>
          <x14:formula2>
            <xm:f>0</xm:f>
          </x14:formula2>
          <xm:sqref>H3:H57</xm:sqref>
        </x14:dataValidation>
        <x14:dataValidation type="list" allowBlank="1" showErrorMessage="1" xr:uid="{00000000-0002-0000-0200-000002000000}">
          <x14:formula1>
            <xm:f>Listeler!$C$2:$C$5</xm:f>
          </x14:formula1>
          <x14:formula2>
            <xm:f>0</xm:f>
          </x14:formula2>
          <xm:sqref>K3:K57</xm:sqref>
        </x14:dataValidation>
        <x14:dataValidation type="list" allowBlank="1" showErrorMessage="1" xr:uid="{00000000-0002-0000-0200-000003000000}">
          <x14:formula1>
            <xm:f>Listeler!$D$2:$D$12</xm:f>
          </x14:formula1>
          <x14:formula2>
            <xm:f>0</xm:f>
          </x14:formula2>
          <xm:sqref>L3:L57</xm:sqref>
        </x14:dataValidation>
        <x14:dataValidation type="list" allowBlank="1" showErrorMessage="1" xr:uid="{00000000-0002-0000-0200-000004000000}">
          <x14:formula1>
            <xm:f>Listeler!$F$2:$F$5</xm:f>
          </x14:formula1>
          <x14:formula2>
            <xm:f>0</xm:f>
          </x14:formula2>
          <xm:sqref>N3:N57</xm:sqref>
        </x14:dataValidation>
        <x14:dataValidation type="list" allowBlank="1" showErrorMessage="1" xr:uid="{00000000-0002-0000-0200-000005000000}">
          <x14:formula1>
            <xm:f>Listeler!$G$2:$G$5</xm:f>
          </x14:formula1>
          <x14:formula2>
            <xm:f>0</xm:f>
          </x14:formula2>
          <xm:sqref>O3:O57</xm:sqref>
        </x14:dataValidation>
        <x14:dataValidation type="list" allowBlank="1" showErrorMessage="1" xr:uid="{00000000-0002-0000-0200-000006000000}">
          <x14:formula1>
            <xm:f>Listeler!$E$2:$E$5</xm:f>
          </x14:formula1>
          <x14:formula2>
            <xm:f>0</xm:f>
          </x14:formula2>
          <xm:sqref>R3:R57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R108"/>
  <sheetViews>
    <sheetView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sqref="A1:R1"/>
    </sheetView>
  </sheetViews>
  <sheetFormatPr baseColWidth="10" defaultColWidth="8.6640625" defaultRowHeight="15" x14ac:dyDescent="0.2"/>
  <cols>
    <col min="1" max="1" width="5" customWidth="1"/>
    <col min="2" max="2" width="16" customWidth="1"/>
    <col min="3" max="3" width="52" customWidth="1"/>
    <col min="4" max="4" width="10" customWidth="1"/>
    <col min="5" max="5" width="36" customWidth="1"/>
    <col min="6" max="6" width="26" customWidth="1"/>
    <col min="7" max="7" width="22" customWidth="1"/>
    <col min="8" max="10" width="20" customWidth="1"/>
    <col min="11" max="11" width="14" customWidth="1"/>
    <col min="12" max="12" width="30" customWidth="1"/>
    <col min="13" max="13" width="20" customWidth="1"/>
    <col min="14" max="15" width="12" customWidth="1"/>
    <col min="16" max="16" width="26" customWidth="1"/>
    <col min="17" max="17" width="14" customWidth="1"/>
    <col min="18" max="18" width="15" customWidth="1"/>
  </cols>
  <sheetData>
    <row r="1" spans="1:18" ht="24" customHeight="1" x14ac:dyDescent="0.2">
      <c r="A1" s="24" t="s">
        <v>163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30" customHeight="1" x14ac:dyDescent="0.2">
      <c r="A2" s="3" t="s">
        <v>90</v>
      </c>
      <c r="B2" s="3" t="s">
        <v>91</v>
      </c>
      <c r="C2" s="3" t="s">
        <v>92</v>
      </c>
      <c r="D2" s="3" t="s">
        <v>93</v>
      </c>
      <c r="E2" s="3" t="s">
        <v>94</v>
      </c>
      <c r="F2" s="3" t="s">
        <v>95</v>
      </c>
      <c r="G2" s="3" t="s">
        <v>96</v>
      </c>
      <c r="H2" s="3" t="s">
        <v>97</v>
      </c>
      <c r="I2" s="3" t="s">
        <v>98</v>
      </c>
      <c r="J2" s="3" t="s">
        <v>99</v>
      </c>
      <c r="K2" s="3" t="s">
        <v>100</v>
      </c>
      <c r="L2" s="3" t="s">
        <v>101</v>
      </c>
      <c r="M2" s="3" t="s">
        <v>102</v>
      </c>
      <c r="N2" s="3" t="s">
        <v>103</v>
      </c>
      <c r="O2" s="3" t="s">
        <v>104</v>
      </c>
      <c r="P2" s="3" t="s">
        <v>105</v>
      </c>
      <c r="Q2" s="3" t="s">
        <v>106</v>
      </c>
      <c r="R2" s="3" t="s">
        <v>107</v>
      </c>
    </row>
    <row r="3" spans="1:18" ht="28" x14ac:dyDescent="0.2">
      <c r="A3" s="9">
        <v>1</v>
      </c>
      <c r="B3" s="10" t="s">
        <v>164</v>
      </c>
      <c r="C3" s="11" t="s">
        <v>165</v>
      </c>
      <c r="D3" s="12" t="s">
        <v>110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28" x14ac:dyDescent="0.2">
      <c r="A4" s="9">
        <v>2</v>
      </c>
      <c r="B4" s="10" t="s">
        <v>164</v>
      </c>
      <c r="C4" s="11" t="s">
        <v>166</v>
      </c>
      <c r="D4" s="12" t="s">
        <v>110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28" x14ac:dyDescent="0.2">
      <c r="A5" s="9">
        <v>3</v>
      </c>
      <c r="B5" s="10" t="s">
        <v>164</v>
      </c>
      <c r="C5" s="11" t="s">
        <v>167</v>
      </c>
      <c r="D5" s="12" t="s">
        <v>110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ht="28" x14ac:dyDescent="0.2">
      <c r="A6" s="9">
        <v>4</v>
      </c>
      <c r="B6" s="10" t="s">
        <v>164</v>
      </c>
      <c r="C6" s="11" t="s">
        <v>168</v>
      </c>
      <c r="D6" s="12" t="s">
        <v>110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x14ac:dyDescent="0.2">
      <c r="A7" s="9">
        <v>5</v>
      </c>
      <c r="B7" s="10" t="s">
        <v>164</v>
      </c>
      <c r="C7" s="11" t="s">
        <v>169</v>
      </c>
      <c r="D7" s="12" t="s">
        <v>110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x14ac:dyDescent="0.2">
      <c r="A8" s="9">
        <v>6</v>
      </c>
      <c r="B8" s="10" t="s">
        <v>164</v>
      </c>
      <c r="C8" s="11" t="s">
        <v>170</v>
      </c>
      <c r="D8" s="12" t="s">
        <v>110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">
      <c r="A9" s="9">
        <v>7</v>
      </c>
      <c r="B9" s="10" t="s">
        <v>164</v>
      </c>
      <c r="C9" s="11" t="s">
        <v>171</v>
      </c>
      <c r="D9" s="12" t="s">
        <v>110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ht="28" x14ac:dyDescent="0.2">
      <c r="A10" s="9">
        <v>8</v>
      </c>
      <c r="B10" s="10" t="s">
        <v>164</v>
      </c>
      <c r="C10" s="11" t="s">
        <v>172</v>
      </c>
      <c r="D10" s="12" t="s">
        <v>110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ht="28" x14ac:dyDescent="0.2">
      <c r="A11" s="9">
        <v>9</v>
      </c>
      <c r="B11" s="10" t="s">
        <v>164</v>
      </c>
      <c r="C11" s="11" t="s">
        <v>173</v>
      </c>
      <c r="D11" s="12" t="s">
        <v>110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2">
      <c r="A12" s="9">
        <v>10</v>
      </c>
      <c r="B12" s="10" t="s">
        <v>164</v>
      </c>
      <c r="C12" s="11" t="s">
        <v>174</v>
      </c>
      <c r="D12" s="12" t="s">
        <v>110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ht="28" x14ac:dyDescent="0.2">
      <c r="A13" s="9">
        <v>11</v>
      </c>
      <c r="B13" s="10" t="s">
        <v>164</v>
      </c>
      <c r="C13" s="11" t="s">
        <v>175</v>
      </c>
      <c r="D13" s="12" t="s">
        <v>110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ht="28" x14ac:dyDescent="0.2">
      <c r="A14" s="9">
        <v>12</v>
      </c>
      <c r="B14" s="10" t="s">
        <v>164</v>
      </c>
      <c r="C14" s="11" t="s">
        <v>176</v>
      </c>
      <c r="D14" s="12" t="s">
        <v>110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ht="28" x14ac:dyDescent="0.2">
      <c r="A15" s="9">
        <v>13</v>
      </c>
      <c r="B15" s="10" t="s">
        <v>164</v>
      </c>
      <c r="C15" s="11" t="s">
        <v>177</v>
      </c>
      <c r="D15" s="12" t="s">
        <v>110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ht="28" x14ac:dyDescent="0.2">
      <c r="A16" s="9">
        <v>14</v>
      </c>
      <c r="B16" s="10" t="s">
        <v>164</v>
      </c>
      <c r="C16" s="11" t="s">
        <v>178</v>
      </c>
      <c r="D16" s="13" t="s">
        <v>120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ht="28" x14ac:dyDescent="0.2">
      <c r="A17" s="9">
        <v>15</v>
      </c>
      <c r="B17" s="10" t="s">
        <v>164</v>
      </c>
      <c r="C17" s="11" t="s">
        <v>179</v>
      </c>
      <c r="D17" s="12" t="s">
        <v>110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x14ac:dyDescent="0.2">
      <c r="A18" s="9">
        <v>16</v>
      </c>
      <c r="B18" s="10" t="s">
        <v>180</v>
      </c>
      <c r="C18" s="11" t="s">
        <v>181</v>
      </c>
      <c r="D18" s="12" t="s">
        <v>110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x14ac:dyDescent="0.2">
      <c r="A19" s="9">
        <v>17</v>
      </c>
      <c r="B19" s="10" t="s">
        <v>180</v>
      </c>
      <c r="C19" s="11" t="s">
        <v>182</v>
      </c>
      <c r="D19" s="12" t="s">
        <v>110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x14ac:dyDescent="0.2">
      <c r="A20" s="9">
        <v>18</v>
      </c>
      <c r="B20" s="10" t="s">
        <v>180</v>
      </c>
      <c r="C20" s="11" t="s">
        <v>183</v>
      </c>
      <c r="D20" s="12" t="s">
        <v>110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ht="28" x14ac:dyDescent="0.2">
      <c r="A21" s="9">
        <v>19</v>
      </c>
      <c r="B21" s="10" t="s">
        <v>180</v>
      </c>
      <c r="C21" s="11" t="s">
        <v>184</v>
      </c>
      <c r="D21" s="12" t="s">
        <v>110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x14ac:dyDescent="0.2">
      <c r="A22" s="9">
        <v>20</v>
      </c>
      <c r="B22" s="10" t="s">
        <v>180</v>
      </c>
      <c r="C22" s="11" t="s">
        <v>185</v>
      </c>
      <c r="D22" s="12" t="s">
        <v>110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ht="28" x14ac:dyDescent="0.2">
      <c r="A23" s="9">
        <v>21</v>
      </c>
      <c r="B23" s="10" t="s">
        <v>180</v>
      </c>
      <c r="C23" s="11" t="s">
        <v>186</v>
      </c>
      <c r="D23" s="12" t="s">
        <v>110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x14ac:dyDescent="0.2">
      <c r="A24" s="9">
        <v>22</v>
      </c>
      <c r="B24" s="10" t="s">
        <v>180</v>
      </c>
      <c r="C24" s="11" t="s">
        <v>187</v>
      </c>
      <c r="D24" s="13" t="s">
        <v>120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x14ac:dyDescent="0.2">
      <c r="A25" s="9">
        <v>23</v>
      </c>
      <c r="B25" s="10" t="s">
        <v>180</v>
      </c>
      <c r="C25" s="11" t="s">
        <v>188</v>
      </c>
      <c r="D25" s="12" t="s">
        <v>110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x14ac:dyDescent="0.2">
      <c r="A26" s="9">
        <v>24</v>
      </c>
      <c r="B26" s="10" t="s">
        <v>180</v>
      </c>
      <c r="C26" s="11" t="s">
        <v>189</v>
      </c>
      <c r="D26" s="12" t="s">
        <v>110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ht="28" x14ac:dyDescent="0.2">
      <c r="A27" s="9">
        <v>25</v>
      </c>
      <c r="B27" s="10" t="s">
        <v>180</v>
      </c>
      <c r="C27" s="11" t="s">
        <v>190</v>
      </c>
      <c r="D27" s="12" t="s">
        <v>110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ht="28" x14ac:dyDescent="0.2">
      <c r="A28" s="9">
        <v>26</v>
      </c>
      <c r="B28" s="10" t="s">
        <v>180</v>
      </c>
      <c r="C28" s="11" t="s">
        <v>191</v>
      </c>
      <c r="D28" s="12" t="s">
        <v>110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x14ac:dyDescent="0.2">
      <c r="A29" s="9">
        <v>27</v>
      </c>
      <c r="B29" s="10" t="s">
        <v>180</v>
      </c>
      <c r="C29" s="11" t="s">
        <v>192</v>
      </c>
      <c r="D29" s="12" t="s">
        <v>110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x14ac:dyDescent="0.2">
      <c r="A30" s="9">
        <v>28</v>
      </c>
      <c r="B30" s="10" t="s">
        <v>193</v>
      </c>
      <c r="C30" s="11" t="s">
        <v>194</v>
      </c>
      <c r="D30" s="12" t="s">
        <v>110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 ht="28" x14ac:dyDescent="0.2">
      <c r="A31" s="9">
        <v>29</v>
      </c>
      <c r="B31" s="10" t="s">
        <v>193</v>
      </c>
      <c r="C31" s="11" t="s">
        <v>195</v>
      </c>
      <c r="D31" s="12" t="s">
        <v>110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ht="28" x14ac:dyDescent="0.2">
      <c r="A32" s="9">
        <v>30</v>
      </c>
      <c r="B32" s="10" t="s">
        <v>193</v>
      </c>
      <c r="C32" s="11" t="s">
        <v>196</v>
      </c>
      <c r="D32" s="12" t="s">
        <v>110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1:18" ht="28" x14ac:dyDescent="0.2">
      <c r="A33" s="9">
        <v>31</v>
      </c>
      <c r="B33" s="10" t="s">
        <v>193</v>
      </c>
      <c r="C33" s="11" t="s">
        <v>197</v>
      </c>
      <c r="D33" s="12" t="s">
        <v>110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 ht="28" x14ac:dyDescent="0.2">
      <c r="A34" s="9">
        <v>32</v>
      </c>
      <c r="B34" s="10" t="s">
        <v>193</v>
      </c>
      <c r="C34" s="11" t="s">
        <v>198</v>
      </c>
      <c r="D34" s="12" t="s">
        <v>110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1:18" x14ac:dyDescent="0.2">
      <c r="A35" s="9">
        <v>33</v>
      </c>
      <c r="B35" s="10" t="s">
        <v>193</v>
      </c>
      <c r="C35" s="11" t="s">
        <v>199</v>
      </c>
      <c r="D35" s="12" t="s">
        <v>110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1:18" x14ac:dyDescent="0.2">
      <c r="A36" s="9">
        <v>34</v>
      </c>
      <c r="B36" s="10" t="s">
        <v>193</v>
      </c>
      <c r="C36" s="11" t="s">
        <v>200</v>
      </c>
      <c r="D36" s="13" t="s">
        <v>120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 x14ac:dyDescent="0.2">
      <c r="A37" s="9">
        <v>35</v>
      </c>
      <c r="B37" s="10" t="s">
        <v>193</v>
      </c>
      <c r="C37" s="11" t="s">
        <v>201</v>
      </c>
      <c r="D37" s="12" t="s">
        <v>110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 ht="28" x14ac:dyDescent="0.2">
      <c r="A38" s="9">
        <v>36</v>
      </c>
      <c r="B38" s="10" t="s">
        <v>193</v>
      </c>
      <c r="C38" s="11" t="s">
        <v>202</v>
      </c>
      <c r="D38" s="12" t="s">
        <v>110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1:18" x14ac:dyDescent="0.2">
      <c r="A39" s="9">
        <v>37</v>
      </c>
      <c r="B39" s="10" t="s">
        <v>193</v>
      </c>
      <c r="C39" s="11" t="s">
        <v>203</v>
      </c>
      <c r="D39" s="13" t="s">
        <v>120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 ht="28" x14ac:dyDescent="0.2">
      <c r="A40" s="9">
        <v>38</v>
      </c>
      <c r="B40" s="10" t="s">
        <v>204</v>
      </c>
      <c r="C40" s="11" t="s">
        <v>205</v>
      </c>
      <c r="D40" s="12" t="s">
        <v>110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 ht="28" x14ac:dyDescent="0.2">
      <c r="A41" s="9">
        <v>39</v>
      </c>
      <c r="B41" s="10" t="s">
        <v>204</v>
      </c>
      <c r="C41" s="11" t="s">
        <v>206</v>
      </c>
      <c r="D41" s="12" t="s">
        <v>110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</row>
    <row r="42" spans="1:18" ht="28" x14ac:dyDescent="0.2">
      <c r="A42" s="9">
        <v>40</v>
      </c>
      <c r="B42" s="10" t="s">
        <v>204</v>
      </c>
      <c r="C42" s="11" t="s">
        <v>207</v>
      </c>
      <c r="D42" s="12" t="s">
        <v>110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</row>
    <row r="43" spans="1:18" ht="28" x14ac:dyDescent="0.2">
      <c r="A43" s="9">
        <v>41</v>
      </c>
      <c r="B43" s="10" t="s">
        <v>204</v>
      </c>
      <c r="C43" s="11" t="s">
        <v>208</v>
      </c>
      <c r="D43" s="12" t="s">
        <v>110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</row>
    <row r="44" spans="1:18" ht="28" x14ac:dyDescent="0.2">
      <c r="A44" s="9">
        <v>42</v>
      </c>
      <c r="B44" s="10" t="s">
        <v>204</v>
      </c>
      <c r="C44" s="11" t="s">
        <v>209</v>
      </c>
      <c r="D44" s="12" t="s">
        <v>110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1:18" ht="28" x14ac:dyDescent="0.2">
      <c r="A45" s="9">
        <v>43</v>
      </c>
      <c r="B45" s="10" t="s">
        <v>204</v>
      </c>
      <c r="C45" s="11" t="s">
        <v>210</v>
      </c>
      <c r="D45" s="12" t="s">
        <v>110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</row>
    <row r="46" spans="1:18" ht="28" x14ac:dyDescent="0.2">
      <c r="A46" s="9">
        <v>44</v>
      </c>
      <c r="B46" s="10" t="s">
        <v>204</v>
      </c>
      <c r="C46" s="11" t="s">
        <v>211</v>
      </c>
      <c r="D46" s="12" t="s">
        <v>110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</row>
    <row r="47" spans="1:18" ht="28" x14ac:dyDescent="0.2">
      <c r="A47" s="9">
        <v>45</v>
      </c>
      <c r="B47" s="10" t="s">
        <v>204</v>
      </c>
      <c r="C47" s="11" t="s">
        <v>212</v>
      </c>
      <c r="D47" s="13" t="s">
        <v>120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</row>
    <row r="48" spans="1:18" ht="28" x14ac:dyDescent="0.2">
      <c r="A48" s="9">
        <v>46</v>
      </c>
      <c r="B48" s="10" t="s">
        <v>213</v>
      </c>
      <c r="C48" s="11" t="s">
        <v>214</v>
      </c>
      <c r="D48" s="12" t="s">
        <v>110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</row>
    <row r="49" spans="1:18" ht="28" x14ac:dyDescent="0.2">
      <c r="A49" s="9">
        <v>47</v>
      </c>
      <c r="B49" s="10" t="s">
        <v>213</v>
      </c>
      <c r="C49" s="11" t="s">
        <v>215</v>
      </c>
      <c r="D49" s="13" t="s">
        <v>120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</row>
    <row r="50" spans="1:18" ht="28" x14ac:dyDescent="0.2">
      <c r="A50" s="9">
        <v>48</v>
      </c>
      <c r="B50" s="10" t="s">
        <v>213</v>
      </c>
      <c r="C50" s="11" t="s">
        <v>216</v>
      </c>
      <c r="D50" s="12" t="s">
        <v>110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</row>
    <row r="51" spans="1:18" ht="28" x14ac:dyDescent="0.2">
      <c r="A51" s="9">
        <v>49</v>
      </c>
      <c r="B51" s="10" t="s">
        <v>213</v>
      </c>
      <c r="C51" s="11" t="s">
        <v>217</v>
      </c>
      <c r="D51" s="12" t="s">
        <v>110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</row>
    <row r="52" spans="1:18" ht="28" x14ac:dyDescent="0.2">
      <c r="A52" s="9">
        <v>50</v>
      </c>
      <c r="B52" s="10" t="s">
        <v>213</v>
      </c>
      <c r="C52" s="11" t="s">
        <v>218</v>
      </c>
      <c r="D52" s="13" t="s">
        <v>120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</row>
    <row r="53" spans="1:18" ht="28" x14ac:dyDescent="0.2">
      <c r="A53" s="9">
        <v>51</v>
      </c>
      <c r="B53" s="10" t="s">
        <v>213</v>
      </c>
      <c r="C53" s="11" t="s">
        <v>219</v>
      </c>
      <c r="D53" s="13" t="s">
        <v>120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</row>
    <row r="54" spans="1:18" ht="28" x14ac:dyDescent="0.2">
      <c r="A54" s="9">
        <v>52</v>
      </c>
      <c r="B54" s="10" t="s">
        <v>213</v>
      </c>
      <c r="C54" s="11" t="s">
        <v>220</v>
      </c>
      <c r="D54" s="12" t="s">
        <v>110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</row>
    <row r="55" spans="1:18" ht="28" x14ac:dyDescent="0.2">
      <c r="A55" s="9">
        <v>53</v>
      </c>
      <c r="B55" s="10" t="s">
        <v>213</v>
      </c>
      <c r="C55" s="11" t="s">
        <v>221</v>
      </c>
      <c r="D55" s="13" t="s">
        <v>120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</row>
    <row r="56" spans="1:18" ht="28" x14ac:dyDescent="0.2">
      <c r="A56" s="9">
        <v>54</v>
      </c>
      <c r="B56" s="10" t="s">
        <v>213</v>
      </c>
      <c r="C56" s="11" t="s">
        <v>222</v>
      </c>
      <c r="D56" s="13" t="s">
        <v>120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</row>
    <row r="57" spans="1:18" ht="28" x14ac:dyDescent="0.2">
      <c r="A57" s="9">
        <v>55</v>
      </c>
      <c r="B57" s="10" t="s">
        <v>213</v>
      </c>
      <c r="C57" s="11" t="s">
        <v>223</v>
      </c>
      <c r="D57" s="13" t="s">
        <v>120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</row>
    <row r="58" spans="1:18" ht="28" x14ac:dyDescent="0.2">
      <c r="A58" s="9">
        <v>56</v>
      </c>
      <c r="B58" s="10" t="s">
        <v>224</v>
      </c>
      <c r="C58" s="11" t="s">
        <v>225</v>
      </c>
      <c r="D58" s="12" t="s">
        <v>110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</row>
    <row r="59" spans="1:18" ht="28" x14ac:dyDescent="0.2">
      <c r="A59" s="9">
        <v>57</v>
      </c>
      <c r="B59" s="10" t="s">
        <v>224</v>
      </c>
      <c r="C59" s="11" t="s">
        <v>226</v>
      </c>
      <c r="D59" s="12" t="s">
        <v>110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</row>
    <row r="60" spans="1:18" ht="28" x14ac:dyDescent="0.2">
      <c r="A60" s="9">
        <v>58</v>
      </c>
      <c r="B60" s="10" t="s">
        <v>224</v>
      </c>
      <c r="C60" s="11" t="s">
        <v>227</v>
      </c>
      <c r="D60" s="12" t="s">
        <v>110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</row>
    <row r="61" spans="1:18" ht="28" x14ac:dyDescent="0.2">
      <c r="A61" s="9">
        <v>59</v>
      </c>
      <c r="B61" s="10" t="s">
        <v>224</v>
      </c>
      <c r="C61" s="11" t="s">
        <v>228</v>
      </c>
      <c r="D61" s="12" t="s">
        <v>110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</row>
    <row r="62" spans="1:18" ht="28" x14ac:dyDescent="0.2">
      <c r="A62" s="9">
        <v>60</v>
      </c>
      <c r="B62" s="10" t="s">
        <v>224</v>
      </c>
      <c r="C62" s="11" t="s">
        <v>229</v>
      </c>
      <c r="D62" s="12" t="s">
        <v>110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</row>
    <row r="63" spans="1:18" ht="28" x14ac:dyDescent="0.2">
      <c r="A63" s="9">
        <v>61</v>
      </c>
      <c r="B63" s="10" t="s">
        <v>224</v>
      </c>
      <c r="C63" s="11" t="s">
        <v>230</v>
      </c>
      <c r="D63" s="12" t="s">
        <v>110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</row>
    <row r="64" spans="1:18" ht="28" x14ac:dyDescent="0.2">
      <c r="A64" s="9">
        <v>62</v>
      </c>
      <c r="B64" s="10" t="s">
        <v>224</v>
      </c>
      <c r="C64" s="11" t="s">
        <v>231</v>
      </c>
      <c r="D64" s="13" t="s">
        <v>120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</row>
    <row r="65" spans="1:18" x14ac:dyDescent="0.2">
      <c r="A65" s="9">
        <v>63</v>
      </c>
      <c r="B65" s="10" t="s">
        <v>232</v>
      </c>
      <c r="C65" s="11" t="s">
        <v>233</v>
      </c>
      <c r="D65" s="12" t="s">
        <v>110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</row>
    <row r="66" spans="1:18" ht="28" x14ac:dyDescent="0.2">
      <c r="A66" s="9">
        <v>64</v>
      </c>
      <c r="B66" s="10" t="s">
        <v>232</v>
      </c>
      <c r="C66" s="11" t="s">
        <v>234</v>
      </c>
      <c r="D66" s="12" t="s">
        <v>110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</row>
    <row r="67" spans="1:18" ht="28" x14ac:dyDescent="0.2">
      <c r="A67" s="9">
        <v>65</v>
      </c>
      <c r="B67" s="10" t="s">
        <v>232</v>
      </c>
      <c r="C67" s="11" t="s">
        <v>235</v>
      </c>
      <c r="D67" s="12" t="s">
        <v>110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</row>
    <row r="68" spans="1:18" ht="28" x14ac:dyDescent="0.2">
      <c r="A68" s="9">
        <v>66</v>
      </c>
      <c r="B68" s="10" t="s">
        <v>232</v>
      </c>
      <c r="C68" s="11" t="s">
        <v>236</v>
      </c>
      <c r="D68" s="12" t="s">
        <v>110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</row>
    <row r="69" spans="1:18" x14ac:dyDescent="0.2">
      <c r="A69" s="9">
        <v>67</v>
      </c>
      <c r="B69" s="10" t="s">
        <v>232</v>
      </c>
      <c r="C69" s="11" t="s">
        <v>237</v>
      </c>
      <c r="D69" s="12" t="s">
        <v>110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</row>
    <row r="70" spans="1:18" x14ac:dyDescent="0.2">
      <c r="A70" s="9">
        <v>68</v>
      </c>
      <c r="B70" s="10" t="s">
        <v>232</v>
      </c>
      <c r="C70" s="11" t="s">
        <v>238</v>
      </c>
      <c r="D70" s="12" t="s">
        <v>110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</row>
    <row r="71" spans="1:18" ht="28" x14ac:dyDescent="0.2">
      <c r="A71" s="9">
        <v>69</v>
      </c>
      <c r="B71" s="10" t="s">
        <v>232</v>
      </c>
      <c r="C71" s="11" t="s">
        <v>239</v>
      </c>
      <c r="D71" s="12" t="s">
        <v>110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</row>
    <row r="72" spans="1:18" x14ac:dyDescent="0.2">
      <c r="A72" s="9">
        <v>70</v>
      </c>
      <c r="B72" s="10" t="s">
        <v>232</v>
      </c>
      <c r="C72" s="11" t="s">
        <v>240</v>
      </c>
      <c r="D72" s="12" t="s">
        <v>110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</row>
    <row r="73" spans="1:18" ht="28" x14ac:dyDescent="0.2">
      <c r="A73" s="9">
        <v>71</v>
      </c>
      <c r="B73" s="10" t="s">
        <v>232</v>
      </c>
      <c r="C73" s="11" t="s">
        <v>241</v>
      </c>
      <c r="D73" s="13" t="s">
        <v>120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</row>
    <row r="74" spans="1:18" ht="28" x14ac:dyDescent="0.2">
      <c r="A74" s="9">
        <v>72</v>
      </c>
      <c r="B74" s="10" t="s">
        <v>232</v>
      </c>
      <c r="C74" s="11" t="s">
        <v>242</v>
      </c>
      <c r="D74" s="12" t="s">
        <v>110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</row>
    <row r="75" spans="1:18" x14ac:dyDescent="0.2">
      <c r="A75" s="9">
        <v>73</v>
      </c>
      <c r="B75" s="10" t="s">
        <v>232</v>
      </c>
      <c r="C75" s="11" t="s">
        <v>243</v>
      </c>
      <c r="D75" s="12" t="s">
        <v>110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</row>
    <row r="76" spans="1:18" x14ac:dyDescent="0.2">
      <c r="A76" s="9">
        <v>74</v>
      </c>
      <c r="B76" s="10" t="s">
        <v>232</v>
      </c>
      <c r="C76" s="11" t="s">
        <v>244</v>
      </c>
      <c r="D76" s="12" t="s">
        <v>110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</row>
    <row r="77" spans="1:18" ht="28" x14ac:dyDescent="0.2">
      <c r="A77" s="9">
        <v>75</v>
      </c>
      <c r="B77" s="10" t="s">
        <v>245</v>
      </c>
      <c r="C77" s="11" t="s">
        <v>246</v>
      </c>
      <c r="D77" s="12" t="s">
        <v>110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</row>
    <row r="78" spans="1:18" ht="28" x14ac:dyDescent="0.2">
      <c r="A78" s="9">
        <v>76</v>
      </c>
      <c r="B78" s="10" t="s">
        <v>245</v>
      </c>
      <c r="C78" s="11" t="s">
        <v>247</v>
      </c>
      <c r="D78" s="12" t="s">
        <v>110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</row>
    <row r="79" spans="1:18" ht="28" x14ac:dyDescent="0.2">
      <c r="A79" s="9">
        <v>77</v>
      </c>
      <c r="B79" s="10" t="s">
        <v>245</v>
      </c>
      <c r="C79" s="11" t="s">
        <v>248</v>
      </c>
      <c r="D79" s="12" t="s">
        <v>110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</row>
    <row r="80" spans="1:18" ht="28" x14ac:dyDescent="0.2">
      <c r="A80" s="9">
        <v>78</v>
      </c>
      <c r="B80" s="10" t="s">
        <v>245</v>
      </c>
      <c r="C80" s="11" t="s">
        <v>249</v>
      </c>
      <c r="D80" s="13" t="s">
        <v>120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</row>
    <row r="81" spans="1:18" ht="28" x14ac:dyDescent="0.2">
      <c r="A81" s="9">
        <v>79</v>
      </c>
      <c r="B81" s="10" t="s">
        <v>245</v>
      </c>
      <c r="C81" s="11" t="s">
        <v>250</v>
      </c>
      <c r="D81" s="13" t="s">
        <v>120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</row>
    <row r="82" spans="1:18" ht="28" x14ac:dyDescent="0.2">
      <c r="A82" s="9">
        <v>80</v>
      </c>
      <c r="B82" s="10" t="s">
        <v>245</v>
      </c>
      <c r="C82" s="11" t="s">
        <v>251</v>
      </c>
      <c r="D82" s="12" t="s">
        <v>110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</row>
    <row r="83" spans="1:18" x14ac:dyDescent="0.2">
      <c r="A83" s="9">
        <v>81</v>
      </c>
      <c r="B83" s="10" t="s">
        <v>252</v>
      </c>
      <c r="C83" s="11" t="s">
        <v>253</v>
      </c>
      <c r="D83" s="12" t="s">
        <v>110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</row>
    <row r="84" spans="1:18" x14ac:dyDescent="0.2">
      <c r="A84" s="9">
        <v>82</v>
      </c>
      <c r="B84" s="10" t="s">
        <v>252</v>
      </c>
      <c r="C84" s="11" t="s">
        <v>254</v>
      </c>
      <c r="D84" s="12" t="s">
        <v>110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</row>
    <row r="85" spans="1:18" ht="28" x14ac:dyDescent="0.2">
      <c r="A85" s="9">
        <v>83</v>
      </c>
      <c r="B85" s="10" t="s">
        <v>252</v>
      </c>
      <c r="C85" s="11" t="s">
        <v>255</v>
      </c>
      <c r="D85" s="12" t="s">
        <v>110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</row>
    <row r="86" spans="1:18" x14ac:dyDescent="0.2">
      <c r="A86" s="9">
        <v>84</v>
      </c>
      <c r="B86" s="10" t="s">
        <v>252</v>
      </c>
      <c r="C86" s="11" t="s">
        <v>256</v>
      </c>
      <c r="D86" s="12" t="s">
        <v>110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</row>
    <row r="87" spans="1:18" x14ac:dyDescent="0.2">
      <c r="A87" s="9">
        <v>85</v>
      </c>
      <c r="B87" s="10" t="s">
        <v>252</v>
      </c>
      <c r="C87" s="11" t="s">
        <v>257</v>
      </c>
      <c r="D87" s="12" t="s">
        <v>110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</row>
    <row r="88" spans="1:18" ht="28" x14ac:dyDescent="0.2">
      <c r="A88" s="9">
        <v>86</v>
      </c>
      <c r="B88" s="10" t="s">
        <v>252</v>
      </c>
      <c r="C88" s="11" t="s">
        <v>258</v>
      </c>
      <c r="D88" s="12" t="s">
        <v>110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</row>
    <row r="89" spans="1:18" x14ac:dyDescent="0.2">
      <c r="A89" s="9">
        <v>87</v>
      </c>
      <c r="B89" s="10" t="s">
        <v>252</v>
      </c>
      <c r="C89" s="11" t="s">
        <v>259</v>
      </c>
      <c r="D89" s="12" t="s">
        <v>110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</row>
    <row r="90" spans="1:18" ht="28" x14ac:dyDescent="0.2">
      <c r="A90" s="9">
        <v>88</v>
      </c>
      <c r="B90" s="10" t="s">
        <v>252</v>
      </c>
      <c r="C90" s="11" t="s">
        <v>260</v>
      </c>
      <c r="D90" s="13" t="s">
        <v>120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</row>
    <row r="91" spans="1:18" ht="28" x14ac:dyDescent="0.2">
      <c r="A91" s="9">
        <v>89</v>
      </c>
      <c r="B91" s="10" t="s">
        <v>252</v>
      </c>
      <c r="C91" s="11" t="s">
        <v>261</v>
      </c>
      <c r="D91" s="12" t="s">
        <v>110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</row>
    <row r="92" spans="1:18" x14ac:dyDescent="0.2">
      <c r="A92" s="9">
        <v>90</v>
      </c>
      <c r="B92" s="10" t="s">
        <v>252</v>
      </c>
      <c r="C92" s="11" t="s">
        <v>262</v>
      </c>
      <c r="D92" s="13" t="s">
        <v>120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</row>
    <row r="93" spans="1:18" ht="28" x14ac:dyDescent="0.2">
      <c r="A93" s="9">
        <v>91</v>
      </c>
      <c r="B93" s="10" t="s">
        <v>263</v>
      </c>
      <c r="C93" s="11" t="s">
        <v>264</v>
      </c>
      <c r="D93" s="12" t="s">
        <v>110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</row>
    <row r="94" spans="1:18" ht="28" x14ac:dyDescent="0.2">
      <c r="A94" s="9">
        <v>92</v>
      </c>
      <c r="B94" s="10" t="s">
        <v>263</v>
      </c>
      <c r="C94" s="11" t="s">
        <v>265</v>
      </c>
      <c r="D94" s="12" t="s">
        <v>110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</row>
    <row r="95" spans="1:18" ht="28" x14ac:dyDescent="0.2">
      <c r="A95" s="9">
        <v>93</v>
      </c>
      <c r="B95" s="10" t="s">
        <v>263</v>
      </c>
      <c r="C95" s="11" t="s">
        <v>266</v>
      </c>
      <c r="D95" s="13" t="s">
        <v>120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</row>
    <row r="96" spans="1:18" ht="28" x14ac:dyDescent="0.2">
      <c r="A96" s="9">
        <v>94</v>
      </c>
      <c r="B96" s="10" t="s">
        <v>263</v>
      </c>
      <c r="C96" s="11" t="s">
        <v>267</v>
      </c>
      <c r="D96" s="13" t="s">
        <v>120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</row>
    <row r="97" spans="1:18" x14ac:dyDescent="0.2">
      <c r="A97" s="9">
        <v>95</v>
      </c>
      <c r="B97" s="10" t="s">
        <v>268</v>
      </c>
      <c r="C97" s="11" t="s">
        <v>269</v>
      </c>
      <c r="D97" s="12" t="s">
        <v>110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</row>
    <row r="98" spans="1:18" x14ac:dyDescent="0.2">
      <c r="A98" s="9">
        <v>96</v>
      </c>
      <c r="B98" s="10" t="s">
        <v>268</v>
      </c>
      <c r="C98" s="11" t="s">
        <v>270</v>
      </c>
      <c r="D98" s="12" t="s">
        <v>110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</row>
    <row r="99" spans="1:18" x14ac:dyDescent="0.2">
      <c r="A99" s="9">
        <v>97</v>
      </c>
      <c r="B99" s="10" t="s">
        <v>268</v>
      </c>
      <c r="C99" s="11" t="s">
        <v>271</v>
      </c>
      <c r="D99" s="13" t="s">
        <v>120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</row>
    <row r="100" spans="1:18" x14ac:dyDescent="0.2">
      <c r="A100" s="9">
        <v>98</v>
      </c>
      <c r="B100" s="10" t="s">
        <v>268</v>
      </c>
      <c r="C100" s="11" t="s">
        <v>272</v>
      </c>
      <c r="D100" s="12" t="s">
        <v>110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</row>
    <row r="101" spans="1:18" x14ac:dyDescent="0.2">
      <c r="A101" s="9">
        <v>99</v>
      </c>
      <c r="B101" s="10" t="s">
        <v>268</v>
      </c>
      <c r="C101" s="11" t="s">
        <v>273</v>
      </c>
      <c r="D101" s="13" t="s">
        <v>120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</row>
    <row r="102" spans="1:18" x14ac:dyDescent="0.2">
      <c r="A102" s="9">
        <v>100</v>
      </c>
      <c r="B102" s="10" t="s">
        <v>268</v>
      </c>
      <c r="C102" s="11" t="s">
        <v>274</v>
      </c>
      <c r="D102" s="13" t="s">
        <v>120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</row>
    <row r="103" spans="1:18" x14ac:dyDescent="0.2">
      <c r="A103" s="9">
        <v>101</v>
      </c>
      <c r="B103" s="10" t="s">
        <v>268</v>
      </c>
      <c r="C103" s="11" t="s">
        <v>275</v>
      </c>
      <c r="D103" s="13" t="s">
        <v>120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</row>
    <row r="104" spans="1:18" ht="28" x14ac:dyDescent="0.2">
      <c r="A104" s="9">
        <v>102</v>
      </c>
      <c r="B104" s="10" t="s">
        <v>276</v>
      </c>
      <c r="C104" s="11" t="s">
        <v>277</v>
      </c>
      <c r="D104" s="13" t="s">
        <v>120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</row>
    <row r="105" spans="1:18" x14ac:dyDescent="0.2">
      <c r="A105" s="9">
        <v>103</v>
      </c>
      <c r="B105" s="10" t="s">
        <v>276</v>
      </c>
      <c r="C105" s="11" t="s">
        <v>278</v>
      </c>
      <c r="D105" s="13" t="s">
        <v>120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</row>
    <row r="106" spans="1:18" x14ac:dyDescent="0.2">
      <c r="A106" s="9">
        <v>104</v>
      </c>
      <c r="B106" s="10" t="s">
        <v>276</v>
      </c>
      <c r="C106" s="11" t="s">
        <v>279</v>
      </c>
      <c r="D106" s="12" t="s">
        <v>110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</row>
    <row r="107" spans="1:18" x14ac:dyDescent="0.2">
      <c r="A107" s="9">
        <v>105</v>
      </c>
      <c r="B107" s="10" t="s">
        <v>276</v>
      </c>
      <c r="C107" s="11" t="s">
        <v>280</v>
      </c>
      <c r="D107" s="12" t="s">
        <v>110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</row>
    <row r="108" spans="1:18" x14ac:dyDescent="0.2">
      <c r="A108" s="9">
        <v>106</v>
      </c>
      <c r="B108" s="10" t="s">
        <v>276</v>
      </c>
      <c r="C108" s="11" t="s">
        <v>281</v>
      </c>
      <c r="D108" s="13" t="s">
        <v>120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</row>
  </sheetData>
  <autoFilter ref="A2:R108" xr:uid="{00000000-0009-0000-0000-000003000000}"/>
  <mergeCells count="1">
    <mergeCell ref="A1:R1"/>
  </mergeCells>
  <conditionalFormatting sqref="K3:K108">
    <cfRule type="cellIs" dxfId="68" priority="6" operator="equal">
      <formula>"Evet"</formula>
    </cfRule>
  </conditionalFormatting>
  <conditionalFormatting sqref="R3:R108">
    <cfRule type="cellIs" dxfId="67" priority="2" operator="equal">
      <formula>"Dolduruldu"</formula>
    </cfRule>
    <cfRule type="cellIs" dxfId="66" priority="3" operator="equal">
      <formula>"Kısmen Dolduruldu"</formula>
    </cfRule>
    <cfRule type="cellIs" dxfId="65" priority="4" operator="equal">
      <formula>"Bilinmiyor"</formula>
    </cfRule>
    <cfRule type="cellIs" dxfId="64" priority="5" operator="equal">
      <formula>"Uygulanamaz"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00000000-0002-0000-0300-000000000000}">
          <x14:formula1>
            <xm:f>Listeler!$A$2:$A$18</xm:f>
          </x14:formula1>
          <x14:formula2>
            <xm:f>0</xm:f>
          </x14:formula2>
          <xm:sqref>G3:G118</xm:sqref>
        </x14:dataValidation>
        <x14:dataValidation type="list" allowBlank="1" showErrorMessage="1" xr:uid="{00000000-0002-0000-0300-000001000000}">
          <x14:formula1>
            <xm:f>Listeler!$B$2:$B$9</xm:f>
          </x14:formula1>
          <x14:formula2>
            <xm:f>0</xm:f>
          </x14:formula2>
          <xm:sqref>H3:H118</xm:sqref>
        </x14:dataValidation>
        <x14:dataValidation type="list" allowBlank="1" showErrorMessage="1" xr:uid="{00000000-0002-0000-0300-000002000000}">
          <x14:formula1>
            <xm:f>Listeler!$C$2:$C$5</xm:f>
          </x14:formula1>
          <x14:formula2>
            <xm:f>0</xm:f>
          </x14:formula2>
          <xm:sqref>K3:K118</xm:sqref>
        </x14:dataValidation>
        <x14:dataValidation type="list" allowBlank="1" showErrorMessage="1" xr:uid="{00000000-0002-0000-0300-000003000000}">
          <x14:formula1>
            <xm:f>Listeler!$D$2:$D$12</xm:f>
          </x14:formula1>
          <x14:formula2>
            <xm:f>0</xm:f>
          </x14:formula2>
          <xm:sqref>L3:L118</xm:sqref>
        </x14:dataValidation>
        <x14:dataValidation type="list" allowBlank="1" showErrorMessage="1" xr:uid="{00000000-0002-0000-0300-000004000000}">
          <x14:formula1>
            <xm:f>Listeler!$F$2:$F$5</xm:f>
          </x14:formula1>
          <x14:formula2>
            <xm:f>0</xm:f>
          </x14:formula2>
          <xm:sqref>N3:N118</xm:sqref>
        </x14:dataValidation>
        <x14:dataValidation type="list" allowBlank="1" showErrorMessage="1" xr:uid="{00000000-0002-0000-0300-000005000000}">
          <x14:formula1>
            <xm:f>Listeler!$G$2:$G$5</xm:f>
          </x14:formula1>
          <x14:formula2>
            <xm:f>0</xm:f>
          </x14:formula2>
          <xm:sqref>O3:O118</xm:sqref>
        </x14:dataValidation>
        <x14:dataValidation type="list" allowBlank="1" showErrorMessage="1" xr:uid="{00000000-0002-0000-0300-000006000000}">
          <x14:formula1>
            <xm:f>Listeler!$E$2:$E$5</xm:f>
          </x14:formula1>
          <x14:formula2>
            <xm:f>0</xm:f>
          </x14:formula2>
          <xm:sqref>R3:R118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R162"/>
  <sheetViews>
    <sheetView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sqref="A1:R1"/>
    </sheetView>
  </sheetViews>
  <sheetFormatPr baseColWidth="10" defaultColWidth="8.6640625" defaultRowHeight="15" x14ac:dyDescent="0.2"/>
  <cols>
    <col min="1" max="1" width="5" customWidth="1"/>
    <col min="2" max="2" width="16" customWidth="1"/>
    <col min="3" max="3" width="52" customWidth="1"/>
    <col min="4" max="4" width="10" customWidth="1"/>
    <col min="5" max="5" width="36" customWidth="1"/>
    <col min="6" max="6" width="26" customWidth="1"/>
    <col min="7" max="7" width="22" customWidth="1"/>
    <col min="8" max="10" width="20" customWidth="1"/>
    <col min="11" max="11" width="14" customWidth="1"/>
    <col min="12" max="12" width="30" customWidth="1"/>
    <col min="13" max="13" width="20" customWidth="1"/>
    <col min="14" max="15" width="12" customWidth="1"/>
    <col min="16" max="16" width="26" customWidth="1"/>
    <col min="17" max="17" width="14" customWidth="1"/>
    <col min="18" max="18" width="15" customWidth="1"/>
  </cols>
  <sheetData>
    <row r="1" spans="1:18" ht="24" customHeight="1" x14ac:dyDescent="0.2">
      <c r="A1" s="24" t="s">
        <v>282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30" customHeight="1" x14ac:dyDescent="0.2">
      <c r="A2" s="3" t="s">
        <v>90</v>
      </c>
      <c r="B2" s="3" t="s">
        <v>91</v>
      </c>
      <c r="C2" s="3" t="s">
        <v>92</v>
      </c>
      <c r="D2" s="3" t="s">
        <v>93</v>
      </c>
      <c r="E2" s="3" t="s">
        <v>94</v>
      </c>
      <c r="F2" s="3" t="s">
        <v>95</v>
      </c>
      <c r="G2" s="3" t="s">
        <v>96</v>
      </c>
      <c r="H2" s="3" t="s">
        <v>97</v>
      </c>
      <c r="I2" s="3" t="s">
        <v>98</v>
      </c>
      <c r="J2" s="3" t="s">
        <v>99</v>
      </c>
      <c r="K2" s="3" t="s">
        <v>100</v>
      </c>
      <c r="L2" s="3" t="s">
        <v>101</v>
      </c>
      <c r="M2" s="3" t="s">
        <v>102</v>
      </c>
      <c r="N2" s="3" t="s">
        <v>103</v>
      </c>
      <c r="O2" s="3" t="s">
        <v>104</v>
      </c>
      <c r="P2" s="3" t="s">
        <v>105</v>
      </c>
      <c r="Q2" s="3" t="s">
        <v>106</v>
      </c>
      <c r="R2" s="3" t="s">
        <v>107</v>
      </c>
    </row>
    <row r="3" spans="1:18" ht="28" x14ac:dyDescent="0.2">
      <c r="A3" s="9">
        <v>1</v>
      </c>
      <c r="B3" s="10" t="s">
        <v>283</v>
      </c>
      <c r="C3" s="11" t="s">
        <v>284</v>
      </c>
      <c r="D3" s="12" t="s">
        <v>110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x14ac:dyDescent="0.2">
      <c r="A4" s="9">
        <v>2</v>
      </c>
      <c r="B4" s="10" t="s">
        <v>283</v>
      </c>
      <c r="C4" s="11" t="s">
        <v>285</v>
      </c>
      <c r="D4" s="12" t="s">
        <v>110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28" x14ac:dyDescent="0.2">
      <c r="A5" s="9">
        <v>3</v>
      </c>
      <c r="B5" s="10" t="s">
        <v>283</v>
      </c>
      <c r="C5" s="11" t="s">
        <v>286</v>
      </c>
      <c r="D5" s="12" t="s">
        <v>110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x14ac:dyDescent="0.2">
      <c r="A6" s="9">
        <v>4</v>
      </c>
      <c r="B6" s="10" t="s">
        <v>283</v>
      </c>
      <c r="C6" s="11" t="s">
        <v>287</v>
      </c>
      <c r="D6" s="13" t="s">
        <v>120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ht="28" x14ac:dyDescent="0.2">
      <c r="A7" s="9">
        <v>5</v>
      </c>
      <c r="B7" s="10" t="s">
        <v>283</v>
      </c>
      <c r="C7" s="11" t="s">
        <v>288</v>
      </c>
      <c r="D7" s="12" t="s">
        <v>110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x14ac:dyDescent="0.2">
      <c r="A8" s="9">
        <v>6</v>
      </c>
      <c r="B8" s="10" t="s">
        <v>283</v>
      </c>
      <c r="C8" s="11" t="s">
        <v>289</v>
      </c>
      <c r="D8" s="12" t="s">
        <v>110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">
      <c r="A9" s="9">
        <v>7</v>
      </c>
      <c r="B9" s="10" t="s">
        <v>283</v>
      </c>
      <c r="C9" s="11" t="s">
        <v>290</v>
      </c>
      <c r="D9" s="12" t="s">
        <v>110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9">
        <v>8</v>
      </c>
      <c r="B10" s="10" t="s">
        <v>283</v>
      </c>
      <c r="C10" s="11" t="s">
        <v>291</v>
      </c>
      <c r="D10" s="12" t="s">
        <v>110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ht="28" x14ac:dyDescent="0.2">
      <c r="A11" s="9">
        <v>9</v>
      </c>
      <c r="B11" s="10" t="s">
        <v>283</v>
      </c>
      <c r="C11" s="11" t="s">
        <v>292</v>
      </c>
      <c r="D11" s="12" t="s">
        <v>110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ht="28" x14ac:dyDescent="0.2">
      <c r="A12" s="9">
        <v>10</v>
      </c>
      <c r="B12" s="10" t="s">
        <v>283</v>
      </c>
      <c r="C12" s="11" t="s">
        <v>293</v>
      </c>
      <c r="D12" s="12" t="s">
        <v>110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x14ac:dyDescent="0.2">
      <c r="A13" s="9">
        <v>11</v>
      </c>
      <c r="B13" s="10" t="s">
        <v>283</v>
      </c>
      <c r="C13" s="11" t="s">
        <v>294</v>
      </c>
      <c r="D13" s="12" t="s">
        <v>110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x14ac:dyDescent="0.2">
      <c r="A14" s="9">
        <v>12</v>
      </c>
      <c r="B14" s="10" t="s">
        <v>283</v>
      </c>
      <c r="C14" s="11" t="s">
        <v>295</v>
      </c>
      <c r="D14" s="12" t="s">
        <v>110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x14ac:dyDescent="0.2">
      <c r="A15" s="9">
        <v>13</v>
      </c>
      <c r="B15" s="10" t="s">
        <v>283</v>
      </c>
      <c r="C15" s="11" t="s">
        <v>296</v>
      </c>
      <c r="D15" s="13" t="s">
        <v>120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ht="28" x14ac:dyDescent="0.2">
      <c r="A16" s="9">
        <v>14</v>
      </c>
      <c r="B16" s="10" t="s">
        <v>283</v>
      </c>
      <c r="C16" s="11" t="s">
        <v>297</v>
      </c>
      <c r="D16" s="12" t="s">
        <v>110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x14ac:dyDescent="0.2">
      <c r="A17" s="9">
        <v>15</v>
      </c>
      <c r="B17" s="10" t="s">
        <v>283</v>
      </c>
      <c r="C17" s="11" t="s">
        <v>298</v>
      </c>
      <c r="D17" s="12" t="s">
        <v>110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ht="28" x14ac:dyDescent="0.2">
      <c r="A18" s="9">
        <v>16</v>
      </c>
      <c r="B18" s="10" t="s">
        <v>299</v>
      </c>
      <c r="C18" s="11" t="s">
        <v>300</v>
      </c>
      <c r="D18" s="12" t="s">
        <v>110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x14ac:dyDescent="0.2">
      <c r="A19" s="9">
        <v>17</v>
      </c>
      <c r="B19" s="10" t="s">
        <v>299</v>
      </c>
      <c r="C19" s="11" t="s">
        <v>301</v>
      </c>
      <c r="D19" s="12" t="s">
        <v>110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x14ac:dyDescent="0.2">
      <c r="A20" s="9">
        <v>18</v>
      </c>
      <c r="B20" s="10" t="s">
        <v>299</v>
      </c>
      <c r="C20" s="11" t="s">
        <v>302</v>
      </c>
      <c r="D20" s="12" t="s">
        <v>110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x14ac:dyDescent="0.2">
      <c r="A21" s="9">
        <v>19</v>
      </c>
      <c r="B21" s="10" t="s">
        <v>299</v>
      </c>
      <c r="C21" s="11" t="s">
        <v>303</v>
      </c>
      <c r="D21" s="12" t="s">
        <v>110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x14ac:dyDescent="0.2">
      <c r="A22" s="9">
        <v>20</v>
      </c>
      <c r="B22" s="10" t="s">
        <v>299</v>
      </c>
      <c r="C22" s="11" t="s">
        <v>304</v>
      </c>
      <c r="D22" s="12" t="s">
        <v>110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x14ac:dyDescent="0.2">
      <c r="A23" s="9">
        <v>21</v>
      </c>
      <c r="B23" s="10" t="s">
        <v>299</v>
      </c>
      <c r="C23" s="11" t="s">
        <v>305</v>
      </c>
      <c r="D23" s="12" t="s">
        <v>110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ht="28" x14ac:dyDescent="0.2">
      <c r="A24" s="9">
        <v>22</v>
      </c>
      <c r="B24" s="10" t="s">
        <v>299</v>
      </c>
      <c r="C24" s="11" t="s">
        <v>306</v>
      </c>
      <c r="D24" s="13" t="s">
        <v>120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ht="28" x14ac:dyDescent="0.2">
      <c r="A25" s="9">
        <v>23</v>
      </c>
      <c r="B25" s="10" t="s">
        <v>299</v>
      </c>
      <c r="C25" s="11" t="s">
        <v>307</v>
      </c>
      <c r="D25" s="12" t="s">
        <v>110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ht="28" x14ac:dyDescent="0.2">
      <c r="A26" s="9">
        <v>24</v>
      </c>
      <c r="B26" s="10" t="s">
        <v>299</v>
      </c>
      <c r="C26" s="11" t="s">
        <v>308</v>
      </c>
      <c r="D26" s="12" t="s">
        <v>110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x14ac:dyDescent="0.2">
      <c r="A27" s="9">
        <v>25</v>
      </c>
      <c r="B27" s="10" t="s">
        <v>299</v>
      </c>
      <c r="C27" s="11" t="s">
        <v>309</v>
      </c>
      <c r="D27" s="13" t="s">
        <v>120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ht="28" x14ac:dyDescent="0.2">
      <c r="A28" s="9">
        <v>26</v>
      </c>
      <c r="B28" s="10" t="s">
        <v>299</v>
      </c>
      <c r="C28" s="11" t="s">
        <v>310</v>
      </c>
      <c r="D28" s="13" t="s">
        <v>120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x14ac:dyDescent="0.2">
      <c r="A29" s="9">
        <v>27</v>
      </c>
      <c r="B29" s="10" t="s">
        <v>299</v>
      </c>
      <c r="C29" s="11" t="s">
        <v>311</v>
      </c>
      <c r="D29" s="13" t="s">
        <v>120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ht="28" x14ac:dyDescent="0.2">
      <c r="A30" s="9">
        <v>28</v>
      </c>
      <c r="B30" s="10" t="s">
        <v>299</v>
      </c>
      <c r="C30" s="11" t="s">
        <v>312</v>
      </c>
      <c r="D30" s="12" t="s">
        <v>110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 ht="28" x14ac:dyDescent="0.2">
      <c r="A31" s="9">
        <v>29</v>
      </c>
      <c r="B31" s="10" t="s">
        <v>299</v>
      </c>
      <c r="C31" s="11" t="s">
        <v>313</v>
      </c>
      <c r="D31" s="12" t="s">
        <v>110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ht="28" x14ac:dyDescent="0.2">
      <c r="A32" s="9">
        <v>30</v>
      </c>
      <c r="B32" s="10" t="s">
        <v>299</v>
      </c>
      <c r="C32" s="11" t="s">
        <v>314</v>
      </c>
      <c r="D32" s="13" t="s">
        <v>120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1:18" x14ac:dyDescent="0.2">
      <c r="A33" s="9">
        <v>31</v>
      </c>
      <c r="B33" s="10" t="s">
        <v>315</v>
      </c>
      <c r="C33" s="11" t="s">
        <v>316</v>
      </c>
      <c r="D33" s="12" t="s">
        <v>110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 x14ac:dyDescent="0.2">
      <c r="A34" s="9">
        <v>32</v>
      </c>
      <c r="B34" s="10" t="s">
        <v>315</v>
      </c>
      <c r="C34" s="11" t="s">
        <v>317</v>
      </c>
      <c r="D34" s="12" t="s">
        <v>110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1:18" x14ac:dyDescent="0.2">
      <c r="A35" s="9">
        <v>33</v>
      </c>
      <c r="B35" s="10" t="s">
        <v>315</v>
      </c>
      <c r="C35" s="11" t="s">
        <v>318</v>
      </c>
      <c r="D35" s="12" t="s">
        <v>110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1:18" ht="28" x14ac:dyDescent="0.2">
      <c r="A36" s="9">
        <v>34</v>
      </c>
      <c r="B36" s="10" t="s">
        <v>315</v>
      </c>
      <c r="C36" s="11" t="s">
        <v>319</v>
      </c>
      <c r="D36" s="12" t="s">
        <v>110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 ht="28" x14ac:dyDescent="0.2">
      <c r="A37" s="9">
        <v>35</v>
      </c>
      <c r="B37" s="10" t="s">
        <v>315</v>
      </c>
      <c r="C37" s="11" t="s">
        <v>320</v>
      </c>
      <c r="D37" s="13" t="s">
        <v>120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 x14ac:dyDescent="0.2">
      <c r="A38" s="9">
        <v>36</v>
      </c>
      <c r="B38" s="10" t="s">
        <v>315</v>
      </c>
      <c r="C38" s="11" t="s">
        <v>321</v>
      </c>
      <c r="D38" s="12" t="s">
        <v>110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1:18" x14ac:dyDescent="0.2">
      <c r="A39" s="9">
        <v>37</v>
      </c>
      <c r="B39" s="10" t="s">
        <v>315</v>
      </c>
      <c r="C39" s="11" t="s">
        <v>322</v>
      </c>
      <c r="D39" s="12" t="s">
        <v>110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 x14ac:dyDescent="0.2">
      <c r="A40" s="9">
        <v>38</v>
      </c>
      <c r="B40" s="10" t="s">
        <v>315</v>
      </c>
      <c r="C40" s="11" t="s">
        <v>323</v>
      </c>
      <c r="D40" s="13" t="s">
        <v>120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 x14ac:dyDescent="0.2">
      <c r="A41" s="9">
        <v>39</v>
      </c>
      <c r="B41" s="10" t="s">
        <v>315</v>
      </c>
      <c r="C41" s="11" t="s">
        <v>324</v>
      </c>
      <c r="D41" s="12" t="s">
        <v>110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</row>
    <row r="42" spans="1:18" x14ac:dyDescent="0.2">
      <c r="A42" s="9">
        <v>40</v>
      </c>
      <c r="B42" s="10" t="s">
        <v>315</v>
      </c>
      <c r="C42" s="11" t="s">
        <v>325</v>
      </c>
      <c r="D42" s="13" t="s">
        <v>120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</row>
    <row r="43" spans="1:18" ht="28" x14ac:dyDescent="0.2">
      <c r="A43" s="9">
        <v>41</v>
      </c>
      <c r="B43" s="10" t="s">
        <v>315</v>
      </c>
      <c r="C43" s="11" t="s">
        <v>326</v>
      </c>
      <c r="D43" s="12" t="s">
        <v>110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</row>
    <row r="44" spans="1:18" ht="28" x14ac:dyDescent="0.2">
      <c r="A44" s="9">
        <v>42</v>
      </c>
      <c r="B44" s="10" t="s">
        <v>315</v>
      </c>
      <c r="C44" s="11" t="s">
        <v>327</v>
      </c>
      <c r="D44" s="12" t="s">
        <v>110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1:18" x14ac:dyDescent="0.2">
      <c r="A45" s="9">
        <v>43</v>
      </c>
      <c r="B45" s="10" t="s">
        <v>328</v>
      </c>
      <c r="C45" s="11" t="s">
        <v>329</v>
      </c>
      <c r="D45" s="12" t="s">
        <v>110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</row>
    <row r="46" spans="1:18" x14ac:dyDescent="0.2">
      <c r="A46" s="9">
        <v>44</v>
      </c>
      <c r="B46" s="10" t="s">
        <v>328</v>
      </c>
      <c r="C46" s="11" t="s">
        <v>330</v>
      </c>
      <c r="D46" s="12" t="s">
        <v>110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</row>
    <row r="47" spans="1:18" x14ac:dyDescent="0.2">
      <c r="A47" s="9">
        <v>45</v>
      </c>
      <c r="B47" s="10" t="s">
        <v>328</v>
      </c>
      <c r="C47" s="11" t="s">
        <v>331</v>
      </c>
      <c r="D47" s="12" t="s">
        <v>110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</row>
    <row r="48" spans="1:18" ht="28" x14ac:dyDescent="0.2">
      <c r="A48" s="9">
        <v>46</v>
      </c>
      <c r="B48" s="10" t="s">
        <v>328</v>
      </c>
      <c r="C48" s="11" t="s">
        <v>332</v>
      </c>
      <c r="D48" s="12" t="s">
        <v>110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</row>
    <row r="49" spans="1:18" ht="28" x14ac:dyDescent="0.2">
      <c r="A49" s="9">
        <v>47</v>
      </c>
      <c r="B49" s="10" t="s">
        <v>328</v>
      </c>
      <c r="C49" s="11" t="s">
        <v>333</v>
      </c>
      <c r="D49" s="12" t="s">
        <v>110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</row>
    <row r="50" spans="1:18" ht="28" x14ac:dyDescent="0.2">
      <c r="A50" s="9">
        <v>48</v>
      </c>
      <c r="B50" s="10" t="s">
        <v>328</v>
      </c>
      <c r="C50" s="11" t="s">
        <v>334</v>
      </c>
      <c r="D50" s="12" t="s">
        <v>110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</row>
    <row r="51" spans="1:18" x14ac:dyDescent="0.2">
      <c r="A51" s="9">
        <v>49</v>
      </c>
      <c r="B51" s="10" t="s">
        <v>328</v>
      </c>
      <c r="C51" s="11" t="s">
        <v>335</v>
      </c>
      <c r="D51" s="12" t="s">
        <v>110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</row>
    <row r="52" spans="1:18" ht="28" x14ac:dyDescent="0.2">
      <c r="A52" s="9">
        <v>50</v>
      </c>
      <c r="B52" s="10" t="s">
        <v>328</v>
      </c>
      <c r="C52" s="11" t="s">
        <v>336</v>
      </c>
      <c r="D52" s="12" t="s">
        <v>110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</row>
    <row r="53" spans="1:18" ht="28" x14ac:dyDescent="0.2">
      <c r="A53" s="9">
        <v>51</v>
      </c>
      <c r="B53" s="10" t="s">
        <v>328</v>
      </c>
      <c r="C53" s="11" t="s">
        <v>337</v>
      </c>
      <c r="D53" s="12" t="s">
        <v>110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</row>
    <row r="54" spans="1:18" x14ac:dyDescent="0.2">
      <c r="A54" s="9">
        <v>52</v>
      </c>
      <c r="B54" s="10" t="s">
        <v>328</v>
      </c>
      <c r="C54" s="11" t="s">
        <v>338</v>
      </c>
      <c r="D54" s="12" t="s">
        <v>110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</row>
    <row r="55" spans="1:18" x14ac:dyDescent="0.2">
      <c r="A55" s="9">
        <v>53</v>
      </c>
      <c r="B55" s="10" t="s">
        <v>328</v>
      </c>
      <c r="C55" s="11" t="s">
        <v>339</v>
      </c>
      <c r="D55" s="12" t="s">
        <v>110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</row>
    <row r="56" spans="1:18" x14ac:dyDescent="0.2">
      <c r="A56" s="9">
        <v>54</v>
      </c>
      <c r="B56" s="10" t="s">
        <v>328</v>
      </c>
      <c r="C56" s="11" t="s">
        <v>340</v>
      </c>
      <c r="D56" s="13" t="s">
        <v>120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</row>
    <row r="57" spans="1:18" x14ac:dyDescent="0.2">
      <c r="A57" s="9">
        <v>55</v>
      </c>
      <c r="B57" s="10" t="s">
        <v>328</v>
      </c>
      <c r="C57" s="11" t="s">
        <v>341</v>
      </c>
      <c r="D57" s="13" t="s">
        <v>120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</row>
    <row r="58" spans="1:18" ht="28" x14ac:dyDescent="0.2">
      <c r="A58" s="9">
        <v>56</v>
      </c>
      <c r="B58" s="10" t="s">
        <v>328</v>
      </c>
      <c r="C58" s="11" t="s">
        <v>342</v>
      </c>
      <c r="D58" s="13" t="s">
        <v>120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</row>
    <row r="59" spans="1:18" x14ac:dyDescent="0.2">
      <c r="A59" s="9">
        <v>57</v>
      </c>
      <c r="B59" s="10" t="s">
        <v>328</v>
      </c>
      <c r="C59" s="11" t="s">
        <v>343</v>
      </c>
      <c r="D59" s="12" t="s">
        <v>110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</row>
    <row r="60" spans="1:18" x14ac:dyDescent="0.2">
      <c r="A60" s="9">
        <v>58</v>
      </c>
      <c r="B60" s="10" t="s">
        <v>328</v>
      </c>
      <c r="C60" s="11" t="s">
        <v>344</v>
      </c>
      <c r="D60" s="13" t="s">
        <v>120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</row>
    <row r="61" spans="1:18" ht="28" x14ac:dyDescent="0.2">
      <c r="A61" s="9">
        <v>59</v>
      </c>
      <c r="B61" s="10" t="s">
        <v>328</v>
      </c>
      <c r="C61" s="11" t="s">
        <v>345</v>
      </c>
      <c r="D61" s="12" t="s">
        <v>110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</row>
    <row r="62" spans="1:18" ht="28" x14ac:dyDescent="0.2">
      <c r="A62" s="9">
        <v>60</v>
      </c>
      <c r="B62" s="10" t="s">
        <v>328</v>
      </c>
      <c r="C62" s="11" t="s">
        <v>346</v>
      </c>
      <c r="D62" s="12" t="s">
        <v>110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</row>
    <row r="63" spans="1:18" ht="28" x14ac:dyDescent="0.2">
      <c r="A63" s="9">
        <v>61</v>
      </c>
      <c r="B63" s="10" t="s">
        <v>347</v>
      </c>
      <c r="C63" s="11" t="s">
        <v>348</v>
      </c>
      <c r="D63" s="12" t="s">
        <v>110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</row>
    <row r="64" spans="1:18" x14ac:dyDescent="0.2">
      <c r="A64" s="9">
        <v>62</v>
      </c>
      <c r="B64" s="10" t="s">
        <v>347</v>
      </c>
      <c r="C64" s="11" t="s">
        <v>349</v>
      </c>
      <c r="D64" s="12" t="s">
        <v>110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</row>
    <row r="65" spans="1:18" x14ac:dyDescent="0.2">
      <c r="A65" s="9">
        <v>63</v>
      </c>
      <c r="B65" s="10" t="s">
        <v>347</v>
      </c>
      <c r="C65" s="11" t="s">
        <v>350</v>
      </c>
      <c r="D65" s="12" t="s">
        <v>110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</row>
    <row r="66" spans="1:18" x14ac:dyDescent="0.2">
      <c r="A66" s="9">
        <v>64</v>
      </c>
      <c r="B66" s="10" t="s">
        <v>347</v>
      </c>
      <c r="C66" s="11" t="s">
        <v>351</v>
      </c>
      <c r="D66" s="12" t="s">
        <v>110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</row>
    <row r="67" spans="1:18" ht="28" x14ac:dyDescent="0.2">
      <c r="A67" s="9">
        <v>65</v>
      </c>
      <c r="B67" s="10" t="s">
        <v>347</v>
      </c>
      <c r="C67" s="11" t="s">
        <v>352</v>
      </c>
      <c r="D67" s="12" t="s">
        <v>110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</row>
    <row r="68" spans="1:18" x14ac:dyDescent="0.2">
      <c r="A68" s="9">
        <v>66</v>
      </c>
      <c r="B68" s="10" t="s">
        <v>347</v>
      </c>
      <c r="C68" s="11" t="s">
        <v>353</v>
      </c>
      <c r="D68" s="12" t="s">
        <v>110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</row>
    <row r="69" spans="1:18" ht="28" x14ac:dyDescent="0.2">
      <c r="A69" s="9">
        <v>67</v>
      </c>
      <c r="B69" s="10" t="s">
        <v>347</v>
      </c>
      <c r="C69" s="11" t="s">
        <v>354</v>
      </c>
      <c r="D69" s="12" t="s">
        <v>110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</row>
    <row r="70" spans="1:18" ht="28" x14ac:dyDescent="0.2">
      <c r="A70" s="9">
        <v>68</v>
      </c>
      <c r="B70" s="10" t="s">
        <v>347</v>
      </c>
      <c r="C70" s="11" t="s">
        <v>355</v>
      </c>
      <c r="D70" s="12" t="s">
        <v>110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</row>
    <row r="71" spans="1:18" x14ac:dyDescent="0.2">
      <c r="A71" s="9">
        <v>69</v>
      </c>
      <c r="B71" s="10" t="s">
        <v>347</v>
      </c>
      <c r="C71" s="11" t="s">
        <v>356</v>
      </c>
      <c r="D71" s="13" t="s">
        <v>120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</row>
    <row r="72" spans="1:18" ht="28" x14ac:dyDescent="0.2">
      <c r="A72" s="9">
        <v>70</v>
      </c>
      <c r="B72" s="10" t="s">
        <v>347</v>
      </c>
      <c r="C72" s="11" t="s">
        <v>357</v>
      </c>
      <c r="D72" s="12" t="s">
        <v>110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</row>
    <row r="73" spans="1:18" x14ac:dyDescent="0.2">
      <c r="A73" s="9">
        <v>71</v>
      </c>
      <c r="B73" s="10" t="s">
        <v>358</v>
      </c>
      <c r="C73" s="11" t="s">
        <v>359</v>
      </c>
      <c r="D73" s="12" t="s">
        <v>110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</row>
    <row r="74" spans="1:18" ht="28" x14ac:dyDescent="0.2">
      <c r="A74" s="9">
        <v>72</v>
      </c>
      <c r="B74" s="10" t="s">
        <v>358</v>
      </c>
      <c r="C74" s="11" t="s">
        <v>360</v>
      </c>
      <c r="D74" s="12" t="s">
        <v>110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</row>
    <row r="75" spans="1:18" x14ac:dyDescent="0.2">
      <c r="A75" s="9">
        <v>73</v>
      </c>
      <c r="B75" s="10" t="s">
        <v>358</v>
      </c>
      <c r="C75" s="11" t="s">
        <v>361</v>
      </c>
      <c r="D75" s="12" t="s">
        <v>110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</row>
    <row r="76" spans="1:18" x14ac:dyDescent="0.2">
      <c r="A76" s="9">
        <v>74</v>
      </c>
      <c r="B76" s="10" t="s">
        <v>358</v>
      </c>
      <c r="C76" s="11" t="s">
        <v>362</v>
      </c>
      <c r="D76" s="12" t="s">
        <v>110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</row>
    <row r="77" spans="1:18" ht="28" x14ac:dyDescent="0.2">
      <c r="A77" s="9">
        <v>75</v>
      </c>
      <c r="B77" s="10" t="s">
        <v>358</v>
      </c>
      <c r="C77" s="11" t="s">
        <v>363</v>
      </c>
      <c r="D77" s="12" t="s">
        <v>110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</row>
    <row r="78" spans="1:18" x14ac:dyDescent="0.2">
      <c r="A78" s="9">
        <v>76</v>
      </c>
      <c r="B78" s="10" t="s">
        <v>358</v>
      </c>
      <c r="C78" s="11" t="s">
        <v>364</v>
      </c>
      <c r="D78" s="13" t="s">
        <v>120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</row>
    <row r="79" spans="1:18" x14ac:dyDescent="0.2">
      <c r="A79" s="9">
        <v>77</v>
      </c>
      <c r="B79" s="10" t="s">
        <v>358</v>
      </c>
      <c r="C79" s="11" t="s">
        <v>365</v>
      </c>
      <c r="D79" s="13" t="s">
        <v>120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</row>
    <row r="80" spans="1:18" ht="28" x14ac:dyDescent="0.2">
      <c r="A80" s="9">
        <v>78</v>
      </c>
      <c r="B80" s="10" t="s">
        <v>358</v>
      </c>
      <c r="C80" s="11" t="s">
        <v>366</v>
      </c>
      <c r="D80" s="12" t="s">
        <v>110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</row>
    <row r="81" spans="1:18" x14ac:dyDescent="0.2">
      <c r="A81" s="9">
        <v>79</v>
      </c>
      <c r="B81" s="10" t="s">
        <v>358</v>
      </c>
      <c r="C81" s="11" t="s">
        <v>367</v>
      </c>
      <c r="D81" s="12" t="s">
        <v>110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</row>
    <row r="82" spans="1:18" ht="28" x14ac:dyDescent="0.2">
      <c r="A82" s="9">
        <v>80</v>
      </c>
      <c r="B82" s="10" t="s">
        <v>358</v>
      </c>
      <c r="C82" s="11" t="s">
        <v>368</v>
      </c>
      <c r="D82" s="12" t="s">
        <v>110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</row>
    <row r="83" spans="1:18" x14ac:dyDescent="0.2">
      <c r="A83" s="9">
        <v>81</v>
      </c>
      <c r="B83" s="10" t="s">
        <v>358</v>
      </c>
      <c r="C83" s="11" t="s">
        <v>369</v>
      </c>
      <c r="D83" s="12" t="s">
        <v>110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</row>
    <row r="84" spans="1:18" ht="28" x14ac:dyDescent="0.2">
      <c r="A84" s="9">
        <v>82</v>
      </c>
      <c r="B84" s="10" t="s">
        <v>358</v>
      </c>
      <c r="C84" s="11" t="s">
        <v>370</v>
      </c>
      <c r="D84" s="13" t="s">
        <v>120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</row>
    <row r="85" spans="1:18" ht="28" x14ac:dyDescent="0.2">
      <c r="A85" s="9">
        <v>83</v>
      </c>
      <c r="B85" s="10" t="s">
        <v>371</v>
      </c>
      <c r="C85" s="11" t="s">
        <v>372</v>
      </c>
      <c r="D85" s="12" t="s">
        <v>110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</row>
    <row r="86" spans="1:18" ht="28" x14ac:dyDescent="0.2">
      <c r="A86" s="9">
        <v>84</v>
      </c>
      <c r="B86" s="10" t="s">
        <v>371</v>
      </c>
      <c r="C86" s="11" t="s">
        <v>373</v>
      </c>
      <c r="D86" s="12" t="s">
        <v>110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</row>
    <row r="87" spans="1:18" x14ac:dyDescent="0.2">
      <c r="A87" s="9">
        <v>85</v>
      </c>
      <c r="B87" s="10" t="s">
        <v>371</v>
      </c>
      <c r="C87" s="11" t="s">
        <v>374</v>
      </c>
      <c r="D87" s="12" t="s">
        <v>110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</row>
    <row r="88" spans="1:18" ht="28" x14ac:dyDescent="0.2">
      <c r="A88" s="9">
        <v>86</v>
      </c>
      <c r="B88" s="10" t="s">
        <v>371</v>
      </c>
      <c r="C88" s="11" t="s">
        <v>375</v>
      </c>
      <c r="D88" s="12" t="s">
        <v>110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</row>
    <row r="89" spans="1:18" ht="28" x14ac:dyDescent="0.2">
      <c r="A89" s="9">
        <v>87</v>
      </c>
      <c r="B89" s="10" t="s">
        <v>371</v>
      </c>
      <c r="C89" s="11" t="s">
        <v>376</v>
      </c>
      <c r="D89" s="12" t="s">
        <v>110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</row>
    <row r="90" spans="1:18" x14ac:dyDescent="0.2">
      <c r="A90" s="9">
        <v>88</v>
      </c>
      <c r="B90" s="10" t="s">
        <v>371</v>
      </c>
      <c r="C90" s="11" t="s">
        <v>377</v>
      </c>
      <c r="D90" s="12" t="s">
        <v>110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</row>
    <row r="91" spans="1:18" x14ac:dyDescent="0.2">
      <c r="A91" s="9">
        <v>89</v>
      </c>
      <c r="B91" s="10" t="s">
        <v>371</v>
      </c>
      <c r="C91" s="11" t="s">
        <v>378</v>
      </c>
      <c r="D91" s="13" t="s">
        <v>120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</row>
    <row r="92" spans="1:18" ht="28" x14ac:dyDescent="0.2">
      <c r="A92" s="9">
        <v>90</v>
      </c>
      <c r="B92" s="10" t="s">
        <v>371</v>
      </c>
      <c r="C92" s="11" t="s">
        <v>379</v>
      </c>
      <c r="D92" s="12" t="s">
        <v>110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</row>
    <row r="93" spans="1:18" x14ac:dyDescent="0.2">
      <c r="A93" s="9">
        <v>91</v>
      </c>
      <c r="B93" s="10" t="s">
        <v>371</v>
      </c>
      <c r="C93" s="11" t="s">
        <v>380</v>
      </c>
      <c r="D93" s="13" t="s">
        <v>120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</row>
    <row r="94" spans="1:18" x14ac:dyDescent="0.2">
      <c r="A94" s="9">
        <v>92</v>
      </c>
      <c r="B94" s="10" t="s">
        <v>371</v>
      </c>
      <c r="C94" s="11" t="s">
        <v>381</v>
      </c>
      <c r="D94" s="12" t="s">
        <v>110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</row>
    <row r="95" spans="1:18" x14ac:dyDescent="0.2">
      <c r="A95" s="9">
        <v>93</v>
      </c>
      <c r="B95" s="10" t="s">
        <v>371</v>
      </c>
      <c r="C95" s="11" t="s">
        <v>382</v>
      </c>
      <c r="D95" s="13" t="s">
        <v>120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</row>
    <row r="96" spans="1:18" ht="28" x14ac:dyDescent="0.2">
      <c r="A96" s="9">
        <v>94</v>
      </c>
      <c r="B96" s="10" t="s">
        <v>371</v>
      </c>
      <c r="C96" s="11" t="s">
        <v>383</v>
      </c>
      <c r="D96" s="12" t="s">
        <v>110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</row>
    <row r="97" spans="1:18" ht="28" x14ac:dyDescent="0.2">
      <c r="A97" s="9">
        <v>95</v>
      </c>
      <c r="B97" s="10" t="s">
        <v>384</v>
      </c>
      <c r="C97" s="11" t="s">
        <v>385</v>
      </c>
      <c r="D97" s="12" t="s">
        <v>110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</row>
    <row r="98" spans="1:18" x14ac:dyDescent="0.2">
      <c r="A98" s="9">
        <v>96</v>
      </c>
      <c r="B98" s="10" t="s">
        <v>384</v>
      </c>
      <c r="C98" s="11" t="s">
        <v>386</v>
      </c>
      <c r="D98" s="12" t="s">
        <v>110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</row>
    <row r="99" spans="1:18" x14ac:dyDescent="0.2">
      <c r="A99" s="9">
        <v>97</v>
      </c>
      <c r="B99" s="10" t="s">
        <v>384</v>
      </c>
      <c r="C99" s="11" t="s">
        <v>387</v>
      </c>
      <c r="D99" s="12" t="s">
        <v>110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</row>
    <row r="100" spans="1:18" x14ac:dyDescent="0.2">
      <c r="A100" s="9">
        <v>98</v>
      </c>
      <c r="B100" s="10" t="s">
        <v>384</v>
      </c>
      <c r="C100" s="11" t="s">
        <v>388</v>
      </c>
      <c r="D100" s="12" t="s">
        <v>110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</row>
    <row r="101" spans="1:18" x14ac:dyDescent="0.2">
      <c r="A101" s="9">
        <v>99</v>
      </c>
      <c r="B101" s="10" t="s">
        <v>384</v>
      </c>
      <c r="C101" s="11" t="s">
        <v>389</v>
      </c>
      <c r="D101" s="13" t="s">
        <v>120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</row>
    <row r="102" spans="1:18" x14ac:dyDescent="0.2">
      <c r="A102" s="9">
        <v>100</v>
      </c>
      <c r="B102" s="10" t="s">
        <v>384</v>
      </c>
      <c r="C102" s="11" t="s">
        <v>390</v>
      </c>
      <c r="D102" s="12" t="s">
        <v>110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</row>
    <row r="103" spans="1:18" x14ac:dyDescent="0.2">
      <c r="A103" s="9">
        <v>101</v>
      </c>
      <c r="B103" s="10" t="s">
        <v>384</v>
      </c>
      <c r="C103" s="11" t="s">
        <v>391</v>
      </c>
      <c r="D103" s="12" t="s">
        <v>110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</row>
    <row r="104" spans="1:18" ht="28" x14ac:dyDescent="0.2">
      <c r="A104" s="9">
        <v>102</v>
      </c>
      <c r="B104" s="10" t="s">
        <v>384</v>
      </c>
      <c r="C104" s="11" t="s">
        <v>392</v>
      </c>
      <c r="D104" s="12" t="s">
        <v>110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</row>
    <row r="105" spans="1:18" ht="28" x14ac:dyDescent="0.2">
      <c r="A105" s="9">
        <v>103</v>
      </c>
      <c r="B105" s="10" t="s">
        <v>384</v>
      </c>
      <c r="C105" s="11" t="s">
        <v>393</v>
      </c>
      <c r="D105" s="13" t="s">
        <v>120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</row>
    <row r="106" spans="1:18" x14ac:dyDescent="0.2">
      <c r="A106" s="9">
        <v>104</v>
      </c>
      <c r="B106" s="10" t="s">
        <v>384</v>
      </c>
      <c r="C106" s="11" t="s">
        <v>394</v>
      </c>
      <c r="D106" s="13" t="s">
        <v>120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</row>
    <row r="107" spans="1:18" x14ac:dyDescent="0.2">
      <c r="A107" s="9">
        <v>105</v>
      </c>
      <c r="B107" s="10" t="s">
        <v>384</v>
      </c>
      <c r="C107" s="11" t="s">
        <v>395</v>
      </c>
      <c r="D107" s="13" t="s">
        <v>120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</row>
    <row r="108" spans="1:18" x14ac:dyDescent="0.2">
      <c r="A108" s="9">
        <v>106</v>
      </c>
      <c r="B108" s="10" t="s">
        <v>384</v>
      </c>
      <c r="C108" s="11" t="s">
        <v>396</v>
      </c>
      <c r="D108" s="12" t="s">
        <v>110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</row>
    <row r="109" spans="1:18" x14ac:dyDescent="0.2">
      <c r="A109" s="9">
        <v>107</v>
      </c>
      <c r="B109" s="10" t="s">
        <v>397</v>
      </c>
      <c r="C109" s="11" t="s">
        <v>398</v>
      </c>
      <c r="D109" s="12" t="s">
        <v>110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</row>
    <row r="110" spans="1:18" x14ac:dyDescent="0.2">
      <c r="A110" s="9">
        <v>108</v>
      </c>
      <c r="B110" s="10" t="s">
        <v>397</v>
      </c>
      <c r="C110" s="11" t="s">
        <v>399</v>
      </c>
      <c r="D110" s="12" t="s">
        <v>110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</row>
    <row r="111" spans="1:18" x14ac:dyDescent="0.2">
      <c r="A111" s="9">
        <v>109</v>
      </c>
      <c r="B111" s="10" t="s">
        <v>397</v>
      </c>
      <c r="C111" s="11" t="s">
        <v>400</v>
      </c>
      <c r="D111" s="12" t="s">
        <v>110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</row>
    <row r="112" spans="1:18" x14ac:dyDescent="0.2">
      <c r="A112" s="9">
        <v>110</v>
      </c>
      <c r="B112" s="10" t="s">
        <v>397</v>
      </c>
      <c r="C112" s="11" t="s">
        <v>401</v>
      </c>
      <c r="D112" s="13" t="s">
        <v>120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</row>
    <row r="113" spans="1:18" ht="28" x14ac:dyDescent="0.2">
      <c r="A113" s="9">
        <v>111</v>
      </c>
      <c r="B113" s="10" t="s">
        <v>397</v>
      </c>
      <c r="C113" s="11" t="s">
        <v>402</v>
      </c>
      <c r="D113" s="12" t="s">
        <v>110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</row>
    <row r="114" spans="1:18" x14ac:dyDescent="0.2">
      <c r="A114" s="9">
        <v>112</v>
      </c>
      <c r="B114" s="10" t="s">
        <v>397</v>
      </c>
      <c r="C114" s="11" t="s">
        <v>403</v>
      </c>
      <c r="D114" s="13" t="s">
        <v>120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</row>
    <row r="115" spans="1:18" ht="28" x14ac:dyDescent="0.2">
      <c r="A115" s="9">
        <v>113</v>
      </c>
      <c r="B115" s="10" t="s">
        <v>404</v>
      </c>
      <c r="C115" s="11" t="s">
        <v>405</v>
      </c>
      <c r="D115" s="12" t="s">
        <v>110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</row>
    <row r="116" spans="1:18" ht="28" x14ac:dyDescent="0.2">
      <c r="A116" s="9">
        <v>114</v>
      </c>
      <c r="B116" s="10" t="s">
        <v>404</v>
      </c>
      <c r="C116" s="11" t="s">
        <v>406</v>
      </c>
      <c r="D116" s="12" t="s">
        <v>110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</row>
    <row r="117" spans="1:18" x14ac:dyDescent="0.2">
      <c r="A117" s="9">
        <v>115</v>
      </c>
      <c r="B117" s="10" t="s">
        <v>404</v>
      </c>
      <c r="C117" s="11" t="s">
        <v>407</v>
      </c>
      <c r="D117" s="12" t="s">
        <v>110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</row>
    <row r="118" spans="1:18" x14ac:dyDescent="0.2">
      <c r="A118" s="9">
        <v>116</v>
      </c>
      <c r="B118" s="10" t="s">
        <v>404</v>
      </c>
      <c r="C118" s="11" t="s">
        <v>408</v>
      </c>
      <c r="D118" s="12" t="s">
        <v>110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</row>
    <row r="119" spans="1:18" ht="28" x14ac:dyDescent="0.2">
      <c r="A119" s="9">
        <v>117</v>
      </c>
      <c r="B119" s="10" t="s">
        <v>404</v>
      </c>
      <c r="C119" s="11" t="s">
        <v>409</v>
      </c>
      <c r="D119" s="12" t="s">
        <v>110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</row>
    <row r="120" spans="1:18" ht="28" x14ac:dyDescent="0.2">
      <c r="A120" s="9">
        <v>118</v>
      </c>
      <c r="B120" s="10" t="s">
        <v>404</v>
      </c>
      <c r="C120" s="11" t="s">
        <v>410</v>
      </c>
      <c r="D120" s="12" t="s">
        <v>110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</row>
    <row r="121" spans="1:18" ht="28" x14ac:dyDescent="0.2">
      <c r="A121" s="9">
        <v>119</v>
      </c>
      <c r="B121" s="10" t="s">
        <v>404</v>
      </c>
      <c r="C121" s="11" t="s">
        <v>411</v>
      </c>
      <c r="D121" s="12" t="s">
        <v>110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</row>
    <row r="122" spans="1:18" x14ac:dyDescent="0.2">
      <c r="A122" s="9">
        <v>120</v>
      </c>
      <c r="B122" s="10" t="s">
        <v>404</v>
      </c>
      <c r="C122" s="11" t="s">
        <v>412</v>
      </c>
      <c r="D122" s="12" t="s">
        <v>110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</row>
    <row r="123" spans="1:18" ht="28" x14ac:dyDescent="0.2">
      <c r="A123" s="9">
        <v>121</v>
      </c>
      <c r="B123" s="10" t="s">
        <v>404</v>
      </c>
      <c r="C123" s="11" t="s">
        <v>413</v>
      </c>
      <c r="D123" s="12" t="s">
        <v>110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</row>
    <row r="124" spans="1:18" x14ac:dyDescent="0.2">
      <c r="A124" s="9">
        <v>122</v>
      </c>
      <c r="B124" s="10" t="s">
        <v>404</v>
      </c>
      <c r="C124" s="11" t="s">
        <v>414</v>
      </c>
      <c r="D124" s="13" t="s">
        <v>120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</row>
    <row r="125" spans="1:18" ht="28" x14ac:dyDescent="0.2">
      <c r="A125" s="9">
        <v>123</v>
      </c>
      <c r="B125" s="10" t="s">
        <v>404</v>
      </c>
      <c r="C125" s="11" t="s">
        <v>415</v>
      </c>
      <c r="D125" s="12" t="s">
        <v>110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</row>
    <row r="126" spans="1:18" x14ac:dyDescent="0.2">
      <c r="A126" s="9">
        <v>124</v>
      </c>
      <c r="B126" s="10" t="s">
        <v>404</v>
      </c>
      <c r="C126" s="11" t="s">
        <v>416</v>
      </c>
      <c r="D126" s="12" t="s">
        <v>110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</row>
    <row r="127" spans="1:18" ht="28" x14ac:dyDescent="0.2">
      <c r="A127" s="9">
        <v>125</v>
      </c>
      <c r="B127" s="10" t="s">
        <v>417</v>
      </c>
      <c r="C127" s="11" t="s">
        <v>418</v>
      </c>
      <c r="D127" s="12" t="s">
        <v>110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</row>
    <row r="128" spans="1:18" ht="28" x14ac:dyDescent="0.2">
      <c r="A128" s="9">
        <v>126</v>
      </c>
      <c r="B128" s="10" t="s">
        <v>417</v>
      </c>
      <c r="C128" s="11" t="s">
        <v>419</v>
      </c>
      <c r="D128" s="12" t="s">
        <v>110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</row>
    <row r="129" spans="1:18" ht="28" x14ac:dyDescent="0.2">
      <c r="A129" s="9">
        <v>127</v>
      </c>
      <c r="B129" s="10" t="s">
        <v>417</v>
      </c>
      <c r="C129" s="11" t="s">
        <v>420</v>
      </c>
      <c r="D129" s="12" t="s">
        <v>110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</row>
    <row r="130" spans="1:18" ht="28" x14ac:dyDescent="0.2">
      <c r="A130" s="9">
        <v>128</v>
      </c>
      <c r="B130" s="10" t="s">
        <v>417</v>
      </c>
      <c r="C130" s="11" t="s">
        <v>421</v>
      </c>
      <c r="D130" s="12" t="s">
        <v>110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</row>
    <row r="131" spans="1:18" ht="28" x14ac:dyDescent="0.2">
      <c r="A131" s="9">
        <v>129</v>
      </c>
      <c r="B131" s="10" t="s">
        <v>417</v>
      </c>
      <c r="C131" s="11" t="s">
        <v>422</v>
      </c>
      <c r="D131" s="12" t="s">
        <v>110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</row>
    <row r="132" spans="1:18" ht="28" x14ac:dyDescent="0.2">
      <c r="A132" s="9">
        <v>130</v>
      </c>
      <c r="B132" s="10" t="s">
        <v>417</v>
      </c>
      <c r="C132" s="11" t="s">
        <v>423</v>
      </c>
      <c r="D132" s="13" t="s">
        <v>120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</row>
    <row r="133" spans="1:18" ht="28" x14ac:dyDescent="0.2">
      <c r="A133" s="9">
        <v>131</v>
      </c>
      <c r="B133" s="10" t="s">
        <v>417</v>
      </c>
      <c r="C133" s="11" t="s">
        <v>424</v>
      </c>
      <c r="D133" s="12" t="s">
        <v>110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</row>
    <row r="134" spans="1:18" ht="28" x14ac:dyDescent="0.2">
      <c r="A134" s="9">
        <v>132</v>
      </c>
      <c r="B134" s="10" t="s">
        <v>417</v>
      </c>
      <c r="C134" s="11" t="s">
        <v>425</v>
      </c>
      <c r="D134" s="12" t="s">
        <v>110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</row>
    <row r="135" spans="1:18" ht="28" x14ac:dyDescent="0.2">
      <c r="A135" s="9">
        <v>133</v>
      </c>
      <c r="B135" s="10" t="s">
        <v>417</v>
      </c>
      <c r="C135" s="11" t="s">
        <v>426</v>
      </c>
      <c r="D135" s="13" t="s">
        <v>120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</row>
    <row r="136" spans="1:18" ht="28" x14ac:dyDescent="0.2">
      <c r="A136" s="9">
        <v>134</v>
      </c>
      <c r="B136" s="10" t="s">
        <v>417</v>
      </c>
      <c r="C136" s="11" t="s">
        <v>427</v>
      </c>
      <c r="D136" s="13" t="s">
        <v>120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</row>
    <row r="137" spans="1:18" ht="28" x14ac:dyDescent="0.2">
      <c r="A137" s="9">
        <v>135</v>
      </c>
      <c r="B137" s="10" t="s">
        <v>428</v>
      </c>
      <c r="C137" s="11" t="s">
        <v>429</v>
      </c>
      <c r="D137" s="12" t="s">
        <v>110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</row>
    <row r="138" spans="1:18" ht="28" x14ac:dyDescent="0.2">
      <c r="A138" s="9">
        <v>136</v>
      </c>
      <c r="B138" s="10" t="s">
        <v>428</v>
      </c>
      <c r="C138" s="11" t="s">
        <v>430</v>
      </c>
      <c r="D138" s="12" t="s">
        <v>110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</row>
    <row r="139" spans="1:18" ht="28" x14ac:dyDescent="0.2">
      <c r="A139" s="9">
        <v>137</v>
      </c>
      <c r="B139" s="10" t="s">
        <v>428</v>
      </c>
      <c r="C139" s="11" t="s">
        <v>431</v>
      </c>
      <c r="D139" s="12" t="s">
        <v>110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</row>
    <row r="140" spans="1:18" ht="28" x14ac:dyDescent="0.2">
      <c r="A140" s="9">
        <v>138</v>
      </c>
      <c r="B140" s="10" t="s">
        <v>428</v>
      </c>
      <c r="C140" s="11" t="s">
        <v>432</v>
      </c>
      <c r="D140" s="12" t="s">
        <v>110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</row>
    <row r="141" spans="1:18" ht="28" x14ac:dyDescent="0.2">
      <c r="A141" s="9">
        <v>139</v>
      </c>
      <c r="B141" s="10" t="s">
        <v>428</v>
      </c>
      <c r="C141" s="11" t="s">
        <v>433</v>
      </c>
      <c r="D141" s="13" t="s">
        <v>120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</row>
    <row r="142" spans="1:18" ht="28" x14ac:dyDescent="0.2">
      <c r="A142" s="9">
        <v>140</v>
      </c>
      <c r="B142" s="10" t="s">
        <v>428</v>
      </c>
      <c r="C142" s="11" t="s">
        <v>434</v>
      </c>
      <c r="D142" s="12" t="s">
        <v>110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</row>
    <row r="143" spans="1:18" ht="28" x14ac:dyDescent="0.2">
      <c r="A143" s="9">
        <v>141</v>
      </c>
      <c r="B143" s="10" t="s">
        <v>428</v>
      </c>
      <c r="C143" s="11" t="s">
        <v>435</v>
      </c>
      <c r="D143" s="12" t="s">
        <v>110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</row>
    <row r="144" spans="1:18" ht="28" x14ac:dyDescent="0.2">
      <c r="A144" s="9">
        <v>142</v>
      </c>
      <c r="B144" s="10" t="s">
        <v>428</v>
      </c>
      <c r="C144" s="11" t="s">
        <v>436</v>
      </c>
      <c r="D144" s="12" t="s">
        <v>110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</row>
    <row r="145" spans="1:18" x14ac:dyDescent="0.2">
      <c r="A145" s="9">
        <v>143</v>
      </c>
      <c r="B145" s="10" t="s">
        <v>437</v>
      </c>
      <c r="C145" s="11" t="s">
        <v>438</v>
      </c>
      <c r="D145" s="12" t="s">
        <v>110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</row>
    <row r="146" spans="1:18" ht="28" x14ac:dyDescent="0.2">
      <c r="A146" s="9">
        <v>144</v>
      </c>
      <c r="B146" s="10" t="s">
        <v>437</v>
      </c>
      <c r="C146" s="11" t="s">
        <v>439</v>
      </c>
      <c r="D146" s="12" t="s">
        <v>110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</row>
    <row r="147" spans="1:18" x14ac:dyDescent="0.2">
      <c r="A147" s="9">
        <v>145</v>
      </c>
      <c r="B147" s="10" t="s">
        <v>437</v>
      </c>
      <c r="C147" s="11" t="s">
        <v>440</v>
      </c>
      <c r="D147" s="12" t="s">
        <v>110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</row>
    <row r="148" spans="1:18" ht="28" x14ac:dyDescent="0.2">
      <c r="A148" s="9">
        <v>146</v>
      </c>
      <c r="B148" s="10" t="s">
        <v>437</v>
      </c>
      <c r="C148" s="11" t="s">
        <v>441</v>
      </c>
      <c r="D148" s="12" t="s">
        <v>110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</row>
    <row r="149" spans="1:18" x14ac:dyDescent="0.2">
      <c r="A149" s="9">
        <v>147</v>
      </c>
      <c r="B149" s="10" t="s">
        <v>437</v>
      </c>
      <c r="C149" s="11" t="s">
        <v>442</v>
      </c>
      <c r="D149" s="12" t="s">
        <v>110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</row>
    <row r="150" spans="1:18" x14ac:dyDescent="0.2">
      <c r="A150" s="9">
        <v>148</v>
      </c>
      <c r="B150" s="10" t="s">
        <v>437</v>
      </c>
      <c r="C150" s="11" t="s">
        <v>443</v>
      </c>
      <c r="D150" s="13" t="s">
        <v>120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</row>
    <row r="151" spans="1:18" x14ac:dyDescent="0.2">
      <c r="A151" s="9">
        <v>149</v>
      </c>
      <c r="B151" s="10" t="s">
        <v>437</v>
      </c>
      <c r="C151" s="11" t="s">
        <v>444</v>
      </c>
      <c r="D151" s="12" t="s">
        <v>110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</row>
    <row r="152" spans="1:18" x14ac:dyDescent="0.2">
      <c r="A152" s="9">
        <v>150</v>
      </c>
      <c r="B152" s="10" t="s">
        <v>437</v>
      </c>
      <c r="C152" s="11" t="s">
        <v>445</v>
      </c>
      <c r="D152" s="13" t="s">
        <v>120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</row>
    <row r="153" spans="1:18" x14ac:dyDescent="0.2">
      <c r="A153" s="9">
        <v>151</v>
      </c>
      <c r="B153" s="10" t="s">
        <v>437</v>
      </c>
      <c r="C153" s="11" t="s">
        <v>446</v>
      </c>
      <c r="D153" s="13" t="s">
        <v>120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</row>
    <row r="154" spans="1:18" x14ac:dyDescent="0.2">
      <c r="A154" s="9">
        <v>152</v>
      </c>
      <c r="B154" s="10" t="s">
        <v>437</v>
      </c>
      <c r="C154" s="11" t="s">
        <v>447</v>
      </c>
      <c r="D154" s="13" t="s">
        <v>120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</row>
    <row r="155" spans="1:18" ht="28" x14ac:dyDescent="0.2">
      <c r="A155" s="9">
        <v>153</v>
      </c>
      <c r="B155" s="10" t="s">
        <v>448</v>
      </c>
      <c r="C155" s="11" t="s">
        <v>449</v>
      </c>
      <c r="D155" s="12" t="s">
        <v>110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</row>
    <row r="156" spans="1:18" ht="28" x14ac:dyDescent="0.2">
      <c r="A156" s="9">
        <v>154</v>
      </c>
      <c r="B156" s="10" t="s">
        <v>448</v>
      </c>
      <c r="C156" s="11" t="s">
        <v>450</v>
      </c>
      <c r="D156" s="12" t="s">
        <v>110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</row>
    <row r="157" spans="1:18" x14ac:dyDescent="0.2">
      <c r="A157" s="9">
        <v>155</v>
      </c>
      <c r="B157" s="10" t="s">
        <v>448</v>
      </c>
      <c r="C157" s="11" t="s">
        <v>451</v>
      </c>
      <c r="D157" s="12" t="s">
        <v>110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</row>
    <row r="158" spans="1:18" ht="28" x14ac:dyDescent="0.2">
      <c r="A158" s="9">
        <v>156</v>
      </c>
      <c r="B158" s="10" t="s">
        <v>448</v>
      </c>
      <c r="C158" s="11" t="s">
        <v>452</v>
      </c>
      <c r="D158" s="12" t="s">
        <v>110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</row>
    <row r="159" spans="1:18" x14ac:dyDescent="0.2">
      <c r="A159" s="9">
        <v>157</v>
      </c>
      <c r="B159" s="10" t="s">
        <v>448</v>
      </c>
      <c r="C159" s="11" t="s">
        <v>453</v>
      </c>
      <c r="D159" s="13" t="s">
        <v>120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</row>
    <row r="160" spans="1:18" x14ac:dyDescent="0.2">
      <c r="A160" s="9">
        <v>158</v>
      </c>
      <c r="B160" s="10" t="s">
        <v>448</v>
      </c>
      <c r="C160" s="11" t="s">
        <v>454</v>
      </c>
      <c r="D160" s="12" t="s">
        <v>110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</row>
    <row r="161" spans="1:18" x14ac:dyDescent="0.2">
      <c r="A161" s="9">
        <v>159</v>
      </c>
      <c r="B161" s="10" t="s">
        <v>448</v>
      </c>
      <c r="C161" s="11" t="s">
        <v>455</v>
      </c>
      <c r="D161" s="13" t="s">
        <v>120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</row>
    <row r="162" spans="1:18" x14ac:dyDescent="0.2">
      <c r="A162" s="9">
        <v>160</v>
      </c>
      <c r="B162" s="10" t="s">
        <v>448</v>
      </c>
      <c r="C162" s="11" t="s">
        <v>456</v>
      </c>
      <c r="D162" s="13" t="s">
        <v>120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</row>
  </sheetData>
  <autoFilter ref="A2:R162" xr:uid="{00000000-0009-0000-0000-000004000000}"/>
  <mergeCells count="1">
    <mergeCell ref="A1:R1"/>
  </mergeCells>
  <conditionalFormatting sqref="K3:K162">
    <cfRule type="cellIs" dxfId="63" priority="6" operator="equal">
      <formula>"Evet"</formula>
    </cfRule>
  </conditionalFormatting>
  <conditionalFormatting sqref="R3:R162">
    <cfRule type="cellIs" dxfId="62" priority="2" operator="equal">
      <formula>"Dolduruldu"</formula>
    </cfRule>
    <cfRule type="cellIs" dxfId="61" priority="3" operator="equal">
      <formula>"Kısmen Dolduruldu"</formula>
    </cfRule>
    <cfRule type="cellIs" dxfId="60" priority="4" operator="equal">
      <formula>"Bilinmiyor"</formula>
    </cfRule>
    <cfRule type="cellIs" dxfId="59" priority="5" operator="equal">
      <formula>"Uygulanamaz"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00000000-0002-0000-0400-000000000000}">
          <x14:formula1>
            <xm:f>Listeler!$A$2:$A$18</xm:f>
          </x14:formula1>
          <x14:formula2>
            <xm:f>0</xm:f>
          </x14:formula2>
          <xm:sqref>G3:G172</xm:sqref>
        </x14:dataValidation>
        <x14:dataValidation type="list" allowBlank="1" showErrorMessage="1" xr:uid="{00000000-0002-0000-0400-000001000000}">
          <x14:formula1>
            <xm:f>Listeler!$B$2:$B$9</xm:f>
          </x14:formula1>
          <x14:formula2>
            <xm:f>0</xm:f>
          </x14:formula2>
          <xm:sqref>H3:H172</xm:sqref>
        </x14:dataValidation>
        <x14:dataValidation type="list" allowBlank="1" showErrorMessage="1" xr:uid="{00000000-0002-0000-0400-000002000000}">
          <x14:formula1>
            <xm:f>Listeler!$C$2:$C$5</xm:f>
          </x14:formula1>
          <x14:formula2>
            <xm:f>0</xm:f>
          </x14:formula2>
          <xm:sqref>K3:K172</xm:sqref>
        </x14:dataValidation>
        <x14:dataValidation type="list" allowBlank="1" showErrorMessage="1" xr:uid="{00000000-0002-0000-0400-000003000000}">
          <x14:formula1>
            <xm:f>Listeler!$D$2:$D$12</xm:f>
          </x14:formula1>
          <x14:formula2>
            <xm:f>0</xm:f>
          </x14:formula2>
          <xm:sqref>L3:L172</xm:sqref>
        </x14:dataValidation>
        <x14:dataValidation type="list" allowBlank="1" showErrorMessage="1" xr:uid="{00000000-0002-0000-0400-000004000000}">
          <x14:formula1>
            <xm:f>Listeler!$F$2:$F$5</xm:f>
          </x14:formula1>
          <x14:formula2>
            <xm:f>0</xm:f>
          </x14:formula2>
          <xm:sqref>N3:N172</xm:sqref>
        </x14:dataValidation>
        <x14:dataValidation type="list" allowBlank="1" showErrorMessage="1" xr:uid="{00000000-0002-0000-0400-000005000000}">
          <x14:formula1>
            <xm:f>Listeler!$G$2:$G$5</xm:f>
          </x14:formula1>
          <x14:formula2>
            <xm:f>0</xm:f>
          </x14:formula2>
          <xm:sqref>O3:O172</xm:sqref>
        </x14:dataValidation>
        <x14:dataValidation type="list" allowBlank="1" showErrorMessage="1" xr:uid="{00000000-0002-0000-0400-000006000000}">
          <x14:formula1>
            <xm:f>Listeler!$E$2:$E$5</xm:f>
          </x14:formula1>
          <x14:formula2>
            <xm:f>0</xm:f>
          </x14:formula2>
          <xm:sqref>R3:R172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A1:R75"/>
  <sheetViews>
    <sheetView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sqref="A1:R1"/>
    </sheetView>
  </sheetViews>
  <sheetFormatPr baseColWidth="10" defaultColWidth="8.6640625" defaultRowHeight="15" x14ac:dyDescent="0.2"/>
  <cols>
    <col min="1" max="1" width="5" customWidth="1"/>
    <col min="2" max="2" width="16" customWidth="1"/>
    <col min="3" max="3" width="52" customWidth="1"/>
    <col min="4" max="4" width="10" customWidth="1"/>
    <col min="5" max="5" width="36" customWidth="1"/>
    <col min="6" max="6" width="26" customWidth="1"/>
    <col min="7" max="7" width="22" customWidth="1"/>
    <col min="8" max="10" width="20" customWidth="1"/>
    <col min="11" max="11" width="14" customWidth="1"/>
    <col min="12" max="12" width="30" customWidth="1"/>
    <col min="13" max="13" width="20" customWidth="1"/>
    <col min="14" max="15" width="12" customWidth="1"/>
    <col min="16" max="16" width="26" customWidth="1"/>
    <col min="17" max="17" width="14" customWidth="1"/>
    <col min="18" max="18" width="15" customWidth="1"/>
  </cols>
  <sheetData>
    <row r="1" spans="1:18" ht="24" customHeight="1" x14ac:dyDescent="0.2">
      <c r="A1" s="24" t="s">
        <v>457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30" customHeight="1" x14ac:dyDescent="0.2">
      <c r="A2" s="3" t="s">
        <v>90</v>
      </c>
      <c r="B2" s="3" t="s">
        <v>91</v>
      </c>
      <c r="C2" s="3" t="s">
        <v>92</v>
      </c>
      <c r="D2" s="3" t="s">
        <v>93</v>
      </c>
      <c r="E2" s="3" t="s">
        <v>94</v>
      </c>
      <c r="F2" s="3" t="s">
        <v>95</v>
      </c>
      <c r="G2" s="3" t="s">
        <v>96</v>
      </c>
      <c r="H2" s="3" t="s">
        <v>97</v>
      </c>
      <c r="I2" s="3" t="s">
        <v>98</v>
      </c>
      <c r="J2" s="3" t="s">
        <v>99</v>
      </c>
      <c r="K2" s="3" t="s">
        <v>100</v>
      </c>
      <c r="L2" s="3" t="s">
        <v>101</v>
      </c>
      <c r="M2" s="3" t="s">
        <v>102</v>
      </c>
      <c r="N2" s="3" t="s">
        <v>103</v>
      </c>
      <c r="O2" s="3" t="s">
        <v>104</v>
      </c>
      <c r="P2" s="3" t="s">
        <v>105</v>
      </c>
      <c r="Q2" s="3" t="s">
        <v>106</v>
      </c>
      <c r="R2" s="3" t="s">
        <v>107</v>
      </c>
    </row>
    <row r="3" spans="1:18" ht="28" x14ac:dyDescent="0.2">
      <c r="A3" s="9">
        <v>1</v>
      </c>
      <c r="B3" s="10" t="s">
        <v>458</v>
      </c>
      <c r="C3" s="11" t="s">
        <v>459</v>
      </c>
      <c r="D3" s="12" t="s">
        <v>110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x14ac:dyDescent="0.2">
      <c r="A4" s="9">
        <v>2</v>
      </c>
      <c r="B4" s="10" t="s">
        <v>458</v>
      </c>
      <c r="C4" s="11" t="s">
        <v>460</v>
      </c>
      <c r="D4" s="12" t="s">
        <v>110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28" x14ac:dyDescent="0.2">
      <c r="A5" s="9">
        <v>3</v>
      </c>
      <c r="B5" s="10" t="s">
        <v>458</v>
      </c>
      <c r="C5" s="11" t="s">
        <v>461</v>
      </c>
      <c r="D5" s="12" t="s">
        <v>110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ht="28" x14ac:dyDescent="0.2">
      <c r="A6" s="9">
        <v>4</v>
      </c>
      <c r="B6" s="10" t="s">
        <v>458</v>
      </c>
      <c r="C6" s="11" t="s">
        <v>462</v>
      </c>
      <c r="D6" s="12" t="s">
        <v>110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x14ac:dyDescent="0.2">
      <c r="A7" s="9">
        <v>5</v>
      </c>
      <c r="B7" s="10" t="s">
        <v>458</v>
      </c>
      <c r="C7" s="11" t="s">
        <v>463</v>
      </c>
      <c r="D7" s="12" t="s">
        <v>110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x14ac:dyDescent="0.2">
      <c r="A8" s="9">
        <v>6</v>
      </c>
      <c r="B8" s="10" t="s">
        <v>458</v>
      </c>
      <c r="C8" s="11" t="s">
        <v>464</v>
      </c>
      <c r="D8" s="13" t="s">
        <v>120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ht="28" x14ac:dyDescent="0.2">
      <c r="A9" s="9">
        <v>7</v>
      </c>
      <c r="B9" s="10" t="s">
        <v>458</v>
      </c>
      <c r="C9" s="11" t="s">
        <v>465</v>
      </c>
      <c r="D9" s="13" t="s">
        <v>120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9">
        <v>8</v>
      </c>
      <c r="B10" s="10" t="s">
        <v>458</v>
      </c>
      <c r="C10" s="11" t="s">
        <v>466</v>
      </c>
      <c r="D10" s="13" t="s">
        <v>120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ht="28" x14ac:dyDescent="0.2">
      <c r="A11" s="9">
        <v>9</v>
      </c>
      <c r="B11" s="10" t="s">
        <v>458</v>
      </c>
      <c r="C11" s="11" t="s">
        <v>467</v>
      </c>
      <c r="D11" s="13" t="s">
        <v>120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2">
      <c r="A12" s="9">
        <v>10</v>
      </c>
      <c r="B12" s="10" t="s">
        <v>458</v>
      </c>
      <c r="C12" s="11" t="s">
        <v>468</v>
      </c>
      <c r="D12" s="12" t="s">
        <v>110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x14ac:dyDescent="0.2">
      <c r="A13" s="9">
        <v>11</v>
      </c>
      <c r="B13" s="10" t="s">
        <v>469</v>
      </c>
      <c r="C13" s="11" t="s">
        <v>470</v>
      </c>
      <c r="D13" s="12" t="s">
        <v>110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ht="28" x14ac:dyDescent="0.2">
      <c r="A14" s="9">
        <v>12</v>
      </c>
      <c r="B14" s="10" t="s">
        <v>469</v>
      </c>
      <c r="C14" s="11" t="s">
        <v>471</v>
      </c>
      <c r="D14" s="12" t="s">
        <v>110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ht="28" x14ac:dyDescent="0.2">
      <c r="A15" s="9">
        <v>13</v>
      </c>
      <c r="B15" s="10" t="s">
        <v>469</v>
      </c>
      <c r="C15" s="11" t="s">
        <v>472</v>
      </c>
      <c r="D15" s="12" t="s">
        <v>110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x14ac:dyDescent="0.2">
      <c r="A16" s="9">
        <v>14</v>
      </c>
      <c r="B16" s="10" t="s">
        <v>469</v>
      </c>
      <c r="C16" s="11" t="s">
        <v>473</v>
      </c>
      <c r="D16" s="13" t="s">
        <v>120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x14ac:dyDescent="0.2">
      <c r="A17" s="9">
        <v>15</v>
      </c>
      <c r="B17" s="10" t="s">
        <v>469</v>
      </c>
      <c r="C17" s="11" t="s">
        <v>474</v>
      </c>
      <c r="D17" s="12" t="s">
        <v>110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x14ac:dyDescent="0.2">
      <c r="A18" s="9">
        <v>16</v>
      </c>
      <c r="B18" s="10" t="s">
        <v>469</v>
      </c>
      <c r="C18" s="11" t="s">
        <v>475</v>
      </c>
      <c r="D18" s="12" t="s">
        <v>110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ht="28" x14ac:dyDescent="0.2">
      <c r="A19" s="9">
        <v>17</v>
      </c>
      <c r="B19" s="10" t="s">
        <v>469</v>
      </c>
      <c r="C19" s="11" t="s">
        <v>476</v>
      </c>
      <c r="D19" s="13" t="s">
        <v>120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x14ac:dyDescent="0.2">
      <c r="A20" s="9">
        <v>18</v>
      </c>
      <c r="B20" s="10" t="s">
        <v>469</v>
      </c>
      <c r="C20" s="11" t="s">
        <v>477</v>
      </c>
      <c r="D20" s="12" t="s">
        <v>110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x14ac:dyDescent="0.2">
      <c r="A21" s="9">
        <v>19</v>
      </c>
      <c r="B21" s="10" t="s">
        <v>469</v>
      </c>
      <c r="C21" s="11" t="s">
        <v>478</v>
      </c>
      <c r="D21" s="13" t="s">
        <v>120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ht="28" x14ac:dyDescent="0.2">
      <c r="A22" s="9">
        <v>20</v>
      </c>
      <c r="B22" s="10" t="s">
        <v>469</v>
      </c>
      <c r="C22" s="11" t="s">
        <v>479</v>
      </c>
      <c r="D22" s="12" t="s">
        <v>110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ht="28" x14ac:dyDescent="0.2">
      <c r="A23" s="9">
        <v>21</v>
      </c>
      <c r="B23" s="10" t="s">
        <v>469</v>
      </c>
      <c r="C23" s="11" t="s">
        <v>480</v>
      </c>
      <c r="D23" s="12" t="s">
        <v>110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ht="28" x14ac:dyDescent="0.2">
      <c r="A24" s="9">
        <v>22</v>
      </c>
      <c r="B24" s="10" t="s">
        <v>469</v>
      </c>
      <c r="C24" s="11" t="s">
        <v>481</v>
      </c>
      <c r="D24" s="13" t="s">
        <v>120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ht="28" x14ac:dyDescent="0.2">
      <c r="A25" s="9">
        <v>23</v>
      </c>
      <c r="B25" s="10" t="s">
        <v>482</v>
      </c>
      <c r="C25" s="11" t="s">
        <v>483</v>
      </c>
      <c r="D25" s="12" t="s">
        <v>110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x14ac:dyDescent="0.2">
      <c r="A26" s="9">
        <v>24</v>
      </c>
      <c r="B26" s="10" t="s">
        <v>482</v>
      </c>
      <c r="C26" s="11" t="s">
        <v>484</v>
      </c>
      <c r="D26" s="12" t="s">
        <v>110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ht="28" x14ac:dyDescent="0.2">
      <c r="A27" s="9">
        <v>25</v>
      </c>
      <c r="B27" s="10" t="s">
        <v>482</v>
      </c>
      <c r="C27" s="11" t="s">
        <v>485</v>
      </c>
      <c r="D27" s="12" t="s">
        <v>110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x14ac:dyDescent="0.2">
      <c r="A28" s="9">
        <v>26</v>
      </c>
      <c r="B28" s="10" t="s">
        <v>482</v>
      </c>
      <c r="C28" s="11" t="s">
        <v>486</v>
      </c>
      <c r="D28" s="12" t="s">
        <v>110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x14ac:dyDescent="0.2">
      <c r="A29" s="9">
        <v>27</v>
      </c>
      <c r="B29" s="10" t="s">
        <v>482</v>
      </c>
      <c r="C29" s="11" t="s">
        <v>487</v>
      </c>
      <c r="D29" s="13" t="s">
        <v>120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x14ac:dyDescent="0.2">
      <c r="A30" s="9">
        <v>28</v>
      </c>
      <c r="B30" s="10" t="s">
        <v>482</v>
      </c>
      <c r="C30" s="11" t="s">
        <v>488</v>
      </c>
      <c r="D30" s="12" t="s">
        <v>110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 ht="28" x14ac:dyDescent="0.2">
      <c r="A31" s="9">
        <v>29</v>
      </c>
      <c r="B31" s="10" t="s">
        <v>482</v>
      </c>
      <c r="C31" s="11" t="s">
        <v>489</v>
      </c>
      <c r="D31" s="13" t="s">
        <v>120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x14ac:dyDescent="0.2">
      <c r="A32" s="9">
        <v>30</v>
      </c>
      <c r="B32" s="10" t="s">
        <v>482</v>
      </c>
      <c r="C32" s="11" t="s">
        <v>490</v>
      </c>
      <c r="D32" s="12" t="s">
        <v>110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1:18" x14ac:dyDescent="0.2">
      <c r="A33" s="9">
        <v>31</v>
      </c>
      <c r="B33" s="10" t="s">
        <v>482</v>
      </c>
      <c r="C33" s="11" t="s">
        <v>491</v>
      </c>
      <c r="D33" s="12" t="s">
        <v>110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 ht="28" x14ac:dyDescent="0.2">
      <c r="A34" s="9">
        <v>32</v>
      </c>
      <c r="B34" s="10" t="s">
        <v>482</v>
      </c>
      <c r="C34" s="11" t="s">
        <v>492</v>
      </c>
      <c r="D34" s="12" t="s">
        <v>110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1:18" ht="28" x14ac:dyDescent="0.2">
      <c r="A35" s="9">
        <v>33</v>
      </c>
      <c r="B35" s="10" t="s">
        <v>493</v>
      </c>
      <c r="C35" s="11" t="s">
        <v>494</v>
      </c>
      <c r="D35" s="12" t="s">
        <v>110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1:18" x14ac:dyDescent="0.2">
      <c r="A36" s="9">
        <v>34</v>
      </c>
      <c r="B36" s="10" t="s">
        <v>493</v>
      </c>
      <c r="C36" s="11" t="s">
        <v>495</v>
      </c>
      <c r="D36" s="12" t="s">
        <v>110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 ht="28" x14ac:dyDescent="0.2">
      <c r="A37" s="9">
        <v>35</v>
      </c>
      <c r="B37" s="10" t="s">
        <v>493</v>
      </c>
      <c r="C37" s="11" t="s">
        <v>496</v>
      </c>
      <c r="D37" s="12" t="s">
        <v>110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 ht="28" x14ac:dyDescent="0.2">
      <c r="A38" s="9">
        <v>36</v>
      </c>
      <c r="B38" s="10" t="s">
        <v>493</v>
      </c>
      <c r="C38" s="11" t="s">
        <v>497</v>
      </c>
      <c r="D38" s="12" t="s">
        <v>110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1:18" x14ac:dyDescent="0.2">
      <c r="A39" s="9">
        <v>37</v>
      </c>
      <c r="B39" s="10" t="s">
        <v>493</v>
      </c>
      <c r="C39" s="11" t="s">
        <v>498</v>
      </c>
      <c r="D39" s="12" t="s">
        <v>110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 x14ac:dyDescent="0.2">
      <c r="A40" s="9">
        <v>38</v>
      </c>
      <c r="B40" s="10" t="s">
        <v>493</v>
      </c>
      <c r="C40" s="11" t="s">
        <v>499</v>
      </c>
      <c r="D40" s="12" t="s">
        <v>110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 ht="28" x14ac:dyDescent="0.2">
      <c r="A41" s="9">
        <v>39</v>
      </c>
      <c r="B41" s="10" t="s">
        <v>493</v>
      </c>
      <c r="C41" s="11" t="s">
        <v>500</v>
      </c>
      <c r="D41" s="12" t="s">
        <v>110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</row>
    <row r="42" spans="1:18" x14ac:dyDescent="0.2">
      <c r="A42" s="9">
        <v>40</v>
      </c>
      <c r="B42" s="10" t="s">
        <v>493</v>
      </c>
      <c r="C42" s="11" t="s">
        <v>501</v>
      </c>
      <c r="D42" s="12" t="s">
        <v>110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</row>
    <row r="43" spans="1:18" x14ac:dyDescent="0.2">
      <c r="A43" s="9">
        <v>41</v>
      </c>
      <c r="B43" s="10" t="s">
        <v>493</v>
      </c>
      <c r="C43" s="11" t="s">
        <v>502</v>
      </c>
      <c r="D43" s="12" t="s">
        <v>110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</row>
    <row r="44" spans="1:18" x14ac:dyDescent="0.2">
      <c r="A44" s="9">
        <v>42</v>
      </c>
      <c r="B44" s="10" t="s">
        <v>493</v>
      </c>
      <c r="C44" s="11" t="s">
        <v>503</v>
      </c>
      <c r="D44" s="13" t="s">
        <v>120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1:18" ht="28" x14ac:dyDescent="0.2">
      <c r="A45" s="9">
        <v>43</v>
      </c>
      <c r="B45" s="10" t="s">
        <v>504</v>
      </c>
      <c r="C45" s="11" t="s">
        <v>505</v>
      </c>
      <c r="D45" s="12" t="s">
        <v>110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</row>
    <row r="46" spans="1:18" ht="28" x14ac:dyDescent="0.2">
      <c r="A46" s="9">
        <v>44</v>
      </c>
      <c r="B46" s="10" t="s">
        <v>504</v>
      </c>
      <c r="C46" s="11" t="s">
        <v>506</v>
      </c>
      <c r="D46" s="12" t="s">
        <v>110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</row>
    <row r="47" spans="1:18" x14ac:dyDescent="0.2">
      <c r="A47" s="9">
        <v>45</v>
      </c>
      <c r="B47" s="10" t="s">
        <v>504</v>
      </c>
      <c r="C47" s="11" t="s">
        <v>507</v>
      </c>
      <c r="D47" s="13" t="s">
        <v>120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</row>
    <row r="48" spans="1:18" ht="28" x14ac:dyDescent="0.2">
      <c r="A48" s="9">
        <v>46</v>
      </c>
      <c r="B48" s="10" t="s">
        <v>504</v>
      </c>
      <c r="C48" s="11" t="s">
        <v>508</v>
      </c>
      <c r="D48" s="12" t="s">
        <v>110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</row>
    <row r="49" spans="1:18" ht="28" x14ac:dyDescent="0.2">
      <c r="A49" s="9">
        <v>47</v>
      </c>
      <c r="B49" s="10" t="s">
        <v>504</v>
      </c>
      <c r="C49" s="11" t="s">
        <v>509</v>
      </c>
      <c r="D49" s="12" t="s">
        <v>110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</row>
    <row r="50" spans="1:18" ht="28" x14ac:dyDescent="0.2">
      <c r="A50" s="9">
        <v>48</v>
      </c>
      <c r="B50" s="10" t="s">
        <v>504</v>
      </c>
      <c r="C50" s="11" t="s">
        <v>510</v>
      </c>
      <c r="D50" s="12" t="s">
        <v>110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</row>
    <row r="51" spans="1:18" x14ac:dyDescent="0.2">
      <c r="A51" s="9">
        <v>49</v>
      </c>
      <c r="B51" s="10" t="s">
        <v>504</v>
      </c>
      <c r="C51" s="11" t="s">
        <v>511</v>
      </c>
      <c r="D51" s="13" t="s">
        <v>120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</row>
    <row r="52" spans="1:18" x14ac:dyDescent="0.2">
      <c r="A52" s="9">
        <v>50</v>
      </c>
      <c r="B52" s="10" t="s">
        <v>504</v>
      </c>
      <c r="C52" s="11" t="s">
        <v>512</v>
      </c>
      <c r="D52" s="12" t="s">
        <v>110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</row>
    <row r="53" spans="1:18" ht="28" x14ac:dyDescent="0.2">
      <c r="A53" s="9">
        <v>51</v>
      </c>
      <c r="B53" s="10" t="s">
        <v>504</v>
      </c>
      <c r="C53" s="11" t="s">
        <v>513</v>
      </c>
      <c r="D53" s="12" t="s">
        <v>110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</row>
    <row r="54" spans="1:18" x14ac:dyDescent="0.2">
      <c r="A54" s="9">
        <v>52</v>
      </c>
      <c r="B54" s="10" t="s">
        <v>504</v>
      </c>
      <c r="C54" s="11" t="s">
        <v>514</v>
      </c>
      <c r="D54" s="13" t="s">
        <v>120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</row>
    <row r="55" spans="1:18" x14ac:dyDescent="0.2">
      <c r="A55" s="9">
        <v>53</v>
      </c>
      <c r="B55" s="10" t="s">
        <v>515</v>
      </c>
      <c r="C55" s="11" t="s">
        <v>516</v>
      </c>
      <c r="D55" s="13" t="s">
        <v>120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</row>
    <row r="56" spans="1:18" x14ac:dyDescent="0.2">
      <c r="A56" s="9">
        <v>54</v>
      </c>
      <c r="B56" s="10" t="s">
        <v>515</v>
      </c>
      <c r="C56" s="11" t="s">
        <v>517</v>
      </c>
      <c r="D56" s="12" t="s">
        <v>110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</row>
    <row r="57" spans="1:18" x14ac:dyDescent="0.2">
      <c r="A57" s="9">
        <v>55</v>
      </c>
      <c r="B57" s="10" t="s">
        <v>515</v>
      </c>
      <c r="C57" s="11" t="s">
        <v>518</v>
      </c>
      <c r="D57" s="13" t="s">
        <v>120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</row>
    <row r="58" spans="1:18" ht="28" x14ac:dyDescent="0.2">
      <c r="A58" s="9">
        <v>56</v>
      </c>
      <c r="B58" s="10" t="s">
        <v>515</v>
      </c>
      <c r="C58" s="11" t="s">
        <v>519</v>
      </c>
      <c r="D58" s="12" t="s">
        <v>110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</row>
    <row r="59" spans="1:18" ht="28" x14ac:dyDescent="0.2">
      <c r="A59" s="9">
        <v>57</v>
      </c>
      <c r="B59" s="10" t="s">
        <v>515</v>
      </c>
      <c r="C59" s="11" t="s">
        <v>520</v>
      </c>
      <c r="D59" s="13" t="s">
        <v>120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</row>
    <row r="60" spans="1:18" x14ac:dyDescent="0.2">
      <c r="A60" s="9">
        <v>58</v>
      </c>
      <c r="B60" s="10" t="s">
        <v>515</v>
      </c>
      <c r="C60" s="11" t="s">
        <v>521</v>
      </c>
      <c r="D60" s="13" t="s">
        <v>120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</row>
    <row r="61" spans="1:18" ht="28" x14ac:dyDescent="0.2">
      <c r="A61" s="9">
        <v>59</v>
      </c>
      <c r="B61" s="10" t="s">
        <v>522</v>
      </c>
      <c r="C61" s="11" t="s">
        <v>523</v>
      </c>
      <c r="D61" s="12" t="s">
        <v>110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</row>
    <row r="62" spans="1:18" ht="28" x14ac:dyDescent="0.2">
      <c r="A62" s="9">
        <v>60</v>
      </c>
      <c r="B62" s="10" t="s">
        <v>522</v>
      </c>
      <c r="C62" s="11" t="s">
        <v>524</v>
      </c>
      <c r="D62" s="12" t="s">
        <v>110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</row>
    <row r="63" spans="1:18" ht="28" x14ac:dyDescent="0.2">
      <c r="A63" s="9">
        <v>61</v>
      </c>
      <c r="B63" s="10" t="s">
        <v>522</v>
      </c>
      <c r="C63" s="11" t="s">
        <v>525</v>
      </c>
      <c r="D63" s="12" t="s">
        <v>110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</row>
    <row r="64" spans="1:18" x14ac:dyDescent="0.2">
      <c r="A64" s="9">
        <v>62</v>
      </c>
      <c r="B64" s="10" t="s">
        <v>522</v>
      </c>
      <c r="C64" s="11" t="s">
        <v>526</v>
      </c>
      <c r="D64" s="13" t="s">
        <v>120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</row>
    <row r="65" spans="1:18" ht="28" x14ac:dyDescent="0.2">
      <c r="A65" s="9">
        <v>63</v>
      </c>
      <c r="B65" s="10" t="s">
        <v>522</v>
      </c>
      <c r="C65" s="11" t="s">
        <v>527</v>
      </c>
      <c r="D65" s="12" t="s">
        <v>110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</row>
    <row r="66" spans="1:18" ht="28" x14ac:dyDescent="0.2">
      <c r="A66" s="9">
        <v>64</v>
      </c>
      <c r="B66" s="10" t="s">
        <v>522</v>
      </c>
      <c r="C66" s="11" t="s">
        <v>528</v>
      </c>
      <c r="D66" s="12" t="s">
        <v>110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</row>
    <row r="67" spans="1:18" ht="28" x14ac:dyDescent="0.2">
      <c r="A67" s="9">
        <v>65</v>
      </c>
      <c r="B67" s="10" t="s">
        <v>522</v>
      </c>
      <c r="C67" s="11" t="s">
        <v>529</v>
      </c>
      <c r="D67" s="12" t="s">
        <v>110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</row>
    <row r="68" spans="1:18" x14ac:dyDescent="0.2">
      <c r="A68" s="9">
        <v>66</v>
      </c>
      <c r="B68" s="10" t="s">
        <v>522</v>
      </c>
      <c r="C68" s="11" t="s">
        <v>530</v>
      </c>
      <c r="D68" s="13" t="s">
        <v>120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</row>
    <row r="69" spans="1:18" ht="28" x14ac:dyDescent="0.2">
      <c r="A69" s="9">
        <v>67</v>
      </c>
      <c r="B69" s="10" t="s">
        <v>531</v>
      </c>
      <c r="C69" s="11" t="s">
        <v>532</v>
      </c>
      <c r="D69" s="13" t="s">
        <v>120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</row>
    <row r="70" spans="1:18" ht="28" x14ac:dyDescent="0.2">
      <c r="A70" s="9">
        <v>68</v>
      </c>
      <c r="B70" s="10" t="s">
        <v>531</v>
      </c>
      <c r="C70" s="11" t="s">
        <v>533</v>
      </c>
      <c r="D70" s="12" t="s">
        <v>110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</row>
    <row r="71" spans="1:18" ht="28" x14ac:dyDescent="0.2">
      <c r="A71" s="9">
        <v>69</v>
      </c>
      <c r="B71" s="10" t="s">
        <v>531</v>
      </c>
      <c r="C71" s="11" t="s">
        <v>534</v>
      </c>
      <c r="D71" s="12" t="s">
        <v>110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</row>
    <row r="72" spans="1:18" x14ac:dyDescent="0.2">
      <c r="A72" s="9">
        <v>70</v>
      </c>
      <c r="B72" s="10" t="s">
        <v>531</v>
      </c>
      <c r="C72" s="11" t="s">
        <v>535</v>
      </c>
      <c r="D72" s="13" t="s">
        <v>120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</row>
    <row r="73" spans="1:18" ht="28" x14ac:dyDescent="0.2">
      <c r="A73" s="9">
        <v>71</v>
      </c>
      <c r="B73" s="10" t="s">
        <v>531</v>
      </c>
      <c r="C73" s="11" t="s">
        <v>536</v>
      </c>
      <c r="D73" s="12" t="s">
        <v>110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</row>
    <row r="74" spans="1:18" x14ac:dyDescent="0.2">
      <c r="A74" s="9">
        <v>72</v>
      </c>
      <c r="B74" s="10" t="s">
        <v>531</v>
      </c>
      <c r="C74" s="11" t="s">
        <v>537</v>
      </c>
      <c r="D74" s="13" t="s">
        <v>120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</row>
    <row r="75" spans="1:18" ht="28" x14ac:dyDescent="0.2">
      <c r="A75" s="9">
        <v>73</v>
      </c>
      <c r="B75" s="10" t="s">
        <v>531</v>
      </c>
      <c r="C75" s="11" t="s">
        <v>538</v>
      </c>
      <c r="D75" s="12" t="s">
        <v>110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</row>
  </sheetData>
  <autoFilter ref="A2:R75" xr:uid="{00000000-0009-0000-0000-000005000000}"/>
  <mergeCells count="1">
    <mergeCell ref="A1:R1"/>
  </mergeCells>
  <conditionalFormatting sqref="K3:K75">
    <cfRule type="cellIs" dxfId="58" priority="6" operator="equal">
      <formula>"Evet"</formula>
    </cfRule>
  </conditionalFormatting>
  <conditionalFormatting sqref="R3:R75">
    <cfRule type="cellIs" dxfId="57" priority="2" operator="equal">
      <formula>"Dolduruldu"</formula>
    </cfRule>
    <cfRule type="cellIs" dxfId="56" priority="3" operator="equal">
      <formula>"Kısmen Dolduruldu"</formula>
    </cfRule>
    <cfRule type="cellIs" dxfId="55" priority="4" operator="equal">
      <formula>"Bilinmiyor"</formula>
    </cfRule>
    <cfRule type="cellIs" dxfId="54" priority="5" operator="equal">
      <formula>"Uygulanamaz"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00000000-0002-0000-0500-000000000000}">
          <x14:formula1>
            <xm:f>Listeler!$A$2:$A$18</xm:f>
          </x14:formula1>
          <x14:formula2>
            <xm:f>0</xm:f>
          </x14:formula2>
          <xm:sqref>G3:G85</xm:sqref>
        </x14:dataValidation>
        <x14:dataValidation type="list" allowBlank="1" showErrorMessage="1" xr:uid="{00000000-0002-0000-0500-000001000000}">
          <x14:formula1>
            <xm:f>Listeler!$B$2:$B$9</xm:f>
          </x14:formula1>
          <x14:formula2>
            <xm:f>0</xm:f>
          </x14:formula2>
          <xm:sqref>H3:H85</xm:sqref>
        </x14:dataValidation>
        <x14:dataValidation type="list" allowBlank="1" showErrorMessage="1" xr:uid="{00000000-0002-0000-0500-000002000000}">
          <x14:formula1>
            <xm:f>Listeler!$C$2:$C$5</xm:f>
          </x14:formula1>
          <x14:formula2>
            <xm:f>0</xm:f>
          </x14:formula2>
          <xm:sqref>K3:K85</xm:sqref>
        </x14:dataValidation>
        <x14:dataValidation type="list" allowBlank="1" showErrorMessage="1" xr:uid="{00000000-0002-0000-0500-000003000000}">
          <x14:formula1>
            <xm:f>Listeler!$D$2:$D$12</xm:f>
          </x14:formula1>
          <x14:formula2>
            <xm:f>0</xm:f>
          </x14:formula2>
          <xm:sqref>L3:L85</xm:sqref>
        </x14:dataValidation>
        <x14:dataValidation type="list" allowBlank="1" showErrorMessage="1" xr:uid="{00000000-0002-0000-0500-000004000000}">
          <x14:formula1>
            <xm:f>Listeler!$F$2:$F$5</xm:f>
          </x14:formula1>
          <x14:formula2>
            <xm:f>0</xm:f>
          </x14:formula2>
          <xm:sqref>N3:N85</xm:sqref>
        </x14:dataValidation>
        <x14:dataValidation type="list" allowBlank="1" showErrorMessage="1" xr:uid="{00000000-0002-0000-0500-000005000000}">
          <x14:formula1>
            <xm:f>Listeler!$G$2:$G$5</xm:f>
          </x14:formula1>
          <x14:formula2>
            <xm:f>0</xm:f>
          </x14:formula2>
          <xm:sqref>O3:O85</xm:sqref>
        </x14:dataValidation>
        <x14:dataValidation type="list" allowBlank="1" showErrorMessage="1" xr:uid="{00000000-0002-0000-0500-000006000000}">
          <x14:formula1>
            <xm:f>Listeler!$E$2:$E$5</xm:f>
          </x14:formula1>
          <x14:formula2>
            <xm:f>0</xm:f>
          </x14:formula2>
          <xm:sqref>R3:R85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235"/>
  </sheetPr>
  <dimension ref="A1:R57"/>
  <sheetViews>
    <sheetView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sqref="A1:R1"/>
    </sheetView>
  </sheetViews>
  <sheetFormatPr baseColWidth="10" defaultColWidth="8.6640625" defaultRowHeight="15" x14ac:dyDescent="0.2"/>
  <cols>
    <col min="1" max="1" width="5" customWidth="1"/>
    <col min="2" max="2" width="16" customWidth="1"/>
    <col min="3" max="3" width="52" customWidth="1"/>
    <col min="4" max="4" width="10" customWidth="1"/>
    <col min="5" max="5" width="36" customWidth="1"/>
    <col min="6" max="6" width="26" customWidth="1"/>
    <col min="7" max="7" width="22" customWidth="1"/>
    <col min="8" max="10" width="20" customWidth="1"/>
    <col min="11" max="11" width="14" customWidth="1"/>
    <col min="12" max="12" width="30" customWidth="1"/>
    <col min="13" max="13" width="20" customWidth="1"/>
    <col min="14" max="15" width="12" customWidth="1"/>
    <col min="16" max="16" width="26" customWidth="1"/>
    <col min="17" max="17" width="14" customWidth="1"/>
    <col min="18" max="18" width="15" customWidth="1"/>
  </cols>
  <sheetData>
    <row r="1" spans="1:18" ht="24" customHeight="1" x14ac:dyDescent="0.2">
      <c r="A1" s="24" t="s">
        <v>539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30" customHeight="1" x14ac:dyDescent="0.2">
      <c r="A2" s="3" t="s">
        <v>90</v>
      </c>
      <c r="B2" s="3" t="s">
        <v>91</v>
      </c>
      <c r="C2" s="3" t="s">
        <v>92</v>
      </c>
      <c r="D2" s="3" t="s">
        <v>93</v>
      </c>
      <c r="E2" s="3" t="s">
        <v>94</v>
      </c>
      <c r="F2" s="3" t="s">
        <v>95</v>
      </c>
      <c r="G2" s="3" t="s">
        <v>96</v>
      </c>
      <c r="H2" s="3" t="s">
        <v>97</v>
      </c>
      <c r="I2" s="3" t="s">
        <v>98</v>
      </c>
      <c r="J2" s="3" t="s">
        <v>99</v>
      </c>
      <c r="K2" s="3" t="s">
        <v>100</v>
      </c>
      <c r="L2" s="3" t="s">
        <v>101</v>
      </c>
      <c r="M2" s="3" t="s">
        <v>102</v>
      </c>
      <c r="N2" s="3" t="s">
        <v>103</v>
      </c>
      <c r="O2" s="3" t="s">
        <v>104</v>
      </c>
      <c r="P2" s="3" t="s">
        <v>105</v>
      </c>
      <c r="Q2" s="3" t="s">
        <v>106</v>
      </c>
      <c r="R2" s="3" t="s">
        <v>107</v>
      </c>
    </row>
    <row r="3" spans="1:18" x14ac:dyDescent="0.2">
      <c r="A3" s="9">
        <v>1</v>
      </c>
      <c r="B3" s="10" t="s">
        <v>540</v>
      </c>
      <c r="C3" s="11" t="s">
        <v>541</v>
      </c>
      <c r="D3" s="12" t="s">
        <v>110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28" x14ac:dyDescent="0.2">
      <c r="A4" s="9">
        <v>2</v>
      </c>
      <c r="B4" s="10" t="s">
        <v>540</v>
      </c>
      <c r="C4" s="11" t="s">
        <v>542</v>
      </c>
      <c r="D4" s="12" t="s">
        <v>110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x14ac:dyDescent="0.2">
      <c r="A5" s="9">
        <v>3</v>
      </c>
      <c r="B5" s="10" t="s">
        <v>540</v>
      </c>
      <c r="C5" s="11" t="s">
        <v>543</v>
      </c>
      <c r="D5" s="12" t="s">
        <v>110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ht="28" x14ac:dyDescent="0.2">
      <c r="A6" s="9">
        <v>4</v>
      </c>
      <c r="B6" s="10" t="s">
        <v>540</v>
      </c>
      <c r="C6" s="11" t="s">
        <v>544</v>
      </c>
      <c r="D6" s="12" t="s">
        <v>110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x14ac:dyDescent="0.2">
      <c r="A7" s="9">
        <v>5</v>
      </c>
      <c r="B7" s="10" t="s">
        <v>540</v>
      </c>
      <c r="C7" s="11" t="s">
        <v>545</v>
      </c>
      <c r="D7" s="12" t="s">
        <v>110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x14ac:dyDescent="0.2">
      <c r="A8" s="9">
        <v>6</v>
      </c>
      <c r="B8" s="10" t="s">
        <v>540</v>
      </c>
      <c r="C8" s="11" t="s">
        <v>546</v>
      </c>
      <c r="D8" s="12" t="s">
        <v>110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">
      <c r="A9" s="9">
        <v>7</v>
      </c>
      <c r="B9" s="10" t="s">
        <v>540</v>
      </c>
      <c r="C9" s="11" t="s">
        <v>547</v>
      </c>
      <c r="D9" s="13" t="s">
        <v>120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ht="28" x14ac:dyDescent="0.2">
      <c r="A10" s="9">
        <v>8</v>
      </c>
      <c r="B10" s="10" t="s">
        <v>540</v>
      </c>
      <c r="C10" s="11" t="s">
        <v>548</v>
      </c>
      <c r="D10" s="12" t="s">
        <v>110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">
      <c r="A11" s="9">
        <v>9</v>
      </c>
      <c r="B11" s="10" t="s">
        <v>540</v>
      </c>
      <c r="C11" s="11" t="s">
        <v>549</v>
      </c>
      <c r="D11" s="12" t="s">
        <v>110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ht="28" x14ac:dyDescent="0.2">
      <c r="A12" s="9">
        <v>10</v>
      </c>
      <c r="B12" s="10" t="s">
        <v>540</v>
      </c>
      <c r="C12" s="11" t="s">
        <v>550</v>
      </c>
      <c r="D12" s="13" t="s">
        <v>120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x14ac:dyDescent="0.2">
      <c r="A13" s="9">
        <v>11</v>
      </c>
      <c r="B13" s="10" t="s">
        <v>540</v>
      </c>
      <c r="C13" s="11" t="s">
        <v>551</v>
      </c>
      <c r="D13" s="13" t="s">
        <v>120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ht="28" x14ac:dyDescent="0.2">
      <c r="A14" s="9">
        <v>12</v>
      </c>
      <c r="B14" s="10" t="s">
        <v>540</v>
      </c>
      <c r="C14" s="11" t="s">
        <v>552</v>
      </c>
      <c r="D14" s="12" t="s">
        <v>110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ht="28" x14ac:dyDescent="0.2">
      <c r="A15" s="9">
        <v>13</v>
      </c>
      <c r="B15" s="10" t="s">
        <v>553</v>
      </c>
      <c r="C15" s="11" t="s">
        <v>554</v>
      </c>
      <c r="D15" s="12" t="s">
        <v>110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ht="28" x14ac:dyDescent="0.2">
      <c r="A16" s="9">
        <v>14</v>
      </c>
      <c r="B16" s="10" t="s">
        <v>553</v>
      </c>
      <c r="C16" s="11" t="s">
        <v>555</v>
      </c>
      <c r="D16" s="12" t="s">
        <v>110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ht="28" x14ac:dyDescent="0.2">
      <c r="A17" s="9">
        <v>15</v>
      </c>
      <c r="B17" s="10" t="s">
        <v>553</v>
      </c>
      <c r="C17" s="11" t="s">
        <v>556</v>
      </c>
      <c r="D17" s="12" t="s">
        <v>110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ht="28" x14ac:dyDescent="0.2">
      <c r="A18" s="9">
        <v>16</v>
      </c>
      <c r="B18" s="10" t="s">
        <v>553</v>
      </c>
      <c r="C18" s="11" t="s">
        <v>557</v>
      </c>
      <c r="D18" s="12" t="s">
        <v>110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x14ac:dyDescent="0.2">
      <c r="A19" s="9">
        <v>17</v>
      </c>
      <c r="B19" s="10" t="s">
        <v>553</v>
      </c>
      <c r="C19" s="11" t="s">
        <v>558</v>
      </c>
      <c r="D19" s="12" t="s">
        <v>110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ht="28" x14ac:dyDescent="0.2">
      <c r="A20" s="9">
        <v>18</v>
      </c>
      <c r="B20" s="10" t="s">
        <v>553</v>
      </c>
      <c r="C20" s="11" t="s">
        <v>559</v>
      </c>
      <c r="D20" s="12" t="s">
        <v>110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ht="28" x14ac:dyDescent="0.2">
      <c r="A21" s="9">
        <v>19</v>
      </c>
      <c r="B21" s="10" t="s">
        <v>553</v>
      </c>
      <c r="C21" s="11" t="s">
        <v>560</v>
      </c>
      <c r="D21" s="12" t="s">
        <v>110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x14ac:dyDescent="0.2">
      <c r="A22" s="9">
        <v>20</v>
      </c>
      <c r="B22" s="10" t="s">
        <v>553</v>
      </c>
      <c r="C22" s="11" t="s">
        <v>561</v>
      </c>
      <c r="D22" s="13" t="s">
        <v>120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ht="28" x14ac:dyDescent="0.2">
      <c r="A23" s="9">
        <v>21</v>
      </c>
      <c r="B23" s="10" t="s">
        <v>553</v>
      </c>
      <c r="C23" s="11" t="s">
        <v>562</v>
      </c>
      <c r="D23" s="12" t="s">
        <v>110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x14ac:dyDescent="0.2">
      <c r="A24" s="9">
        <v>22</v>
      </c>
      <c r="B24" s="10" t="s">
        <v>553</v>
      </c>
      <c r="C24" s="11" t="s">
        <v>563</v>
      </c>
      <c r="D24" s="12" t="s">
        <v>110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x14ac:dyDescent="0.2">
      <c r="A25" s="9">
        <v>23</v>
      </c>
      <c r="B25" s="10" t="s">
        <v>564</v>
      </c>
      <c r="C25" s="11" t="s">
        <v>565</v>
      </c>
      <c r="D25" s="12" t="s">
        <v>110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x14ac:dyDescent="0.2">
      <c r="A26" s="9">
        <v>24</v>
      </c>
      <c r="B26" s="10" t="s">
        <v>564</v>
      </c>
      <c r="C26" s="11" t="s">
        <v>566</v>
      </c>
      <c r="D26" s="12" t="s">
        <v>110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x14ac:dyDescent="0.2">
      <c r="A27" s="9">
        <v>25</v>
      </c>
      <c r="B27" s="10" t="s">
        <v>564</v>
      </c>
      <c r="C27" s="11" t="s">
        <v>567</v>
      </c>
      <c r="D27" s="13" t="s">
        <v>120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x14ac:dyDescent="0.2">
      <c r="A28" s="9">
        <v>26</v>
      </c>
      <c r="B28" s="10" t="s">
        <v>564</v>
      </c>
      <c r="C28" s="11" t="s">
        <v>568</v>
      </c>
      <c r="D28" s="12" t="s">
        <v>110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ht="28" x14ac:dyDescent="0.2">
      <c r="A29" s="9">
        <v>27</v>
      </c>
      <c r="B29" s="10" t="s">
        <v>564</v>
      </c>
      <c r="C29" s="11" t="s">
        <v>569</v>
      </c>
      <c r="D29" s="12" t="s">
        <v>110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ht="28" x14ac:dyDescent="0.2">
      <c r="A30" s="9">
        <v>28</v>
      </c>
      <c r="B30" s="10" t="s">
        <v>564</v>
      </c>
      <c r="C30" s="11" t="s">
        <v>570</v>
      </c>
      <c r="D30" s="12" t="s">
        <v>110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 x14ac:dyDescent="0.2">
      <c r="A31" s="9">
        <v>29</v>
      </c>
      <c r="B31" s="10" t="s">
        <v>564</v>
      </c>
      <c r="C31" s="11" t="s">
        <v>571</v>
      </c>
      <c r="D31" s="13" t="s">
        <v>120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x14ac:dyDescent="0.2">
      <c r="A32" s="9">
        <v>30</v>
      </c>
      <c r="B32" s="10" t="s">
        <v>564</v>
      </c>
      <c r="C32" s="11" t="s">
        <v>572</v>
      </c>
      <c r="D32" s="13" t="s">
        <v>120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1:18" x14ac:dyDescent="0.2">
      <c r="A33" s="9">
        <v>31</v>
      </c>
      <c r="B33" s="10" t="s">
        <v>573</v>
      </c>
      <c r="C33" s="11" t="s">
        <v>574</v>
      </c>
      <c r="D33" s="12" t="s">
        <v>110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 ht="28" x14ac:dyDescent="0.2">
      <c r="A34" s="9">
        <v>32</v>
      </c>
      <c r="B34" s="10" t="s">
        <v>573</v>
      </c>
      <c r="C34" s="11" t="s">
        <v>575</v>
      </c>
      <c r="D34" s="12" t="s">
        <v>110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1:18" x14ac:dyDescent="0.2">
      <c r="A35" s="9">
        <v>33</v>
      </c>
      <c r="B35" s="10" t="s">
        <v>573</v>
      </c>
      <c r="C35" s="11" t="s">
        <v>576</v>
      </c>
      <c r="D35" s="12" t="s">
        <v>110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1:18" x14ac:dyDescent="0.2">
      <c r="A36" s="9">
        <v>34</v>
      </c>
      <c r="B36" s="10" t="s">
        <v>573</v>
      </c>
      <c r="C36" s="11" t="s">
        <v>577</v>
      </c>
      <c r="D36" s="13" t="s">
        <v>120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 x14ac:dyDescent="0.2">
      <c r="A37" s="9">
        <v>35</v>
      </c>
      <c r="B37" s="10" t="s">
        <v>573</v>
      </c>
      <c r="C37" s="11" t="s">
        <v>578</v>
      </c>
      <c r="D37" s="12" t="s">
        <v>110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 x14ac:dyDescent="0.2">
      <c r="A38" s="9">
        <v>36</v>
      </c>
      <c r="B38" s="10" t="s">
        <v>573</v>
      </c>
      <c r="C38" s="11" t="s">
        <v>579</v>
      </c>
      <c r="D38" s="12" t="s">
        <v>110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1:18" ht="28" x14ac:dyDescent="0.2">
      <c r="A39" s="9">
        <v>37</v>
      </c>
      <c r="B39" s="10" t="s">
        <v>573</v>
      </c>
      <c r="C39" s="11" t="s">
        <v>580</v>
      </c>
      <c r="D39" s="13" t="s">
        <v>120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 x14ac:dyDescent="0.2">
      <c r="A40" s="9">
        <v>38</v>
      </c>
      <c r="B40" s="10" t="s">
        <v>581</v>
      </c>
      <c r="C40" s="11" t="s">
        <v>582</v>
      </c>
      <c r="D40" s="12" t="s">
        <v>110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 ht="28" x14ac:dyDescent="0.2">
      <c r="A41" s="9">
        <v>39</v>
      </c>
      <c r="B41" s="10" t="s">
        <v>581</v>
      </c>
      <c r="C41" s="11" t="s">
        <v>583</v>
      </c>
      <c r="D41" s="12" t="s">
        <v>110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</row>
    <row r="42" spans="1:18" ht="28" x14ac:dyDescent="0.2">
      <c r="A42" s="9">
        <v>40</v>
      </c>
      <c r="B42" s="10" t="s">
        <v>581</v>
      </c>
      <c r="C42" s="11" t="s">
        <v>584</v>
      </c>
      <c r="D42" s="12" t="s">
        <v>110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</row>
    <row r="43" spans="1:18" x14ac:dyDescent="0.2">
      <c r="A43" s="9">
        <v>41</v>
      </c>
      <c r="B43" s="10" t="s">
        <v>581</v>
      </c>
      <c r="C43" s="11" t="s">
        <v>585</v>
      </c>
      <c r="D43" s="12" t="s">
        <v>110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</row>
    <row r="44" spans="1:18" x14ac:dyDescent="0.2">
      <c r="A44" s="9">
        <v>42</v>
      </c>
      <c r="B44" s="10" t="s">
        <v>581</v>
      </c>
      <c r="C44" s="11" t="s">
        <v>586</v>
      </c>
      <c r="D44" s="13" t="s">
        <v>120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1:18" ht="28" x14ac:dyDescent="0.2">
      <c r="A45" s="9">
        <v>43</v>
      </c>
      <c r="B45" s="10" t="s">
        <v>581</v>
      </c>
      <c r="C45" s="11" t="s">
        <v>587</v>
      </c>
      <c r="D45" s="12" t="s">
        <v>110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</row>
    <row r="46" spans="1:18" x14ac:dyDescent="0.2">
      <c r="A46" s="9">
        <v>44</v>
      </c>
      <c r="B46" s="10" t="s">
        <v>581</v>
      </c>
      <c r="C46" s="11" t="s">
        <v>588</v>
      </c>
      <c r="D46" s="13" t="s">
        <v>120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</row>
    <row r="47" spans="1:18" ht="28" x14ac:dyDescent="0.2">
      <c r="A47" s="9">
        <v>45</v>
      </c>
      <c r="B47" s="10" t="s">
        <v>581</v>
      </c>
      <c r="C47" s="11" t="s">
        <v>589</v>
      </c>
      <c r="D47" s="12" t="s">
        <v>110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</row>
    <row r="48" spans="1:18" ht="28" x14ac:dyDescent="0.2">
      <c r="A48" s="9">
        <v>46</v>
      </c>
      <c r="B48" s="10" t="s">
        <v>590</v>
      </c>
      <c r="C48" s="11" t="s">
        <v>591</v>
      </c>
      <c r="D48" s="12" t="s">
        <v>110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</row>
    <row r="49" spans="1:18" ht="28" x14ac:dyDescent="0.2">
      <c r="A49" s="9">
        <v>47</v>
      </c>
      <c r="B49" s="10" t="s">
        <v>590</v>
      </c>
      <c r="C49" s="11" t="s">
        <v>592</v>
      </c>
      <c r="D49" s="12" t="s">
        <v>110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</row>
    <row r="50" spans="1:18" ht="28" x14ac:dyDescent="0.2">
      <c r="A50" s="9">
        <v>48</v>
      </c>
      <c r="B50" s="10" t="s">
        <v>590</v>
      </c>
      <c r="C50" s="11" t="s">
        <v>593</v>
      </c>
      <c r="D50" s="12" t="s">
        <v>110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</row>
    <row r="51" spans="1:18" ht="28" x14ac:dyDescent="0.2">
      <c r="A51" s="9">
        <v>49</v>
      </c>
      <c r="B51" s="10" t="s">
        <v>590</v>
      </c>
      <c r="C51" s="11" t="s">
        <v>594</v>
      </c>
      <c r="D51" s="13" t="s">
        <v>120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</row>
    <row r="52" spans="1:18" ht="28" x14ac:dyDescent="0.2">
      <c r="A52" s="9">
        <v>50</v>
      </c>
      <c r="B52" s="10" t="s">
        <v>590</v>
      </c>
      <c r="C52" s="11" t="s">
        <v>595</v>
      </c>
      <c r="D52" s="12" t="s">
        <v>110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</row>
    <row r="53" spans="1:18" ht="28" x14ac:dyDescent="0.2">
      <c r="A53" s="9">
        <v>51</v>
      </c>
      <c r="B53" s="10" t="s">
        <v>590</v>
      </c>
      <c r="C53" s="11" t="s">
        <v>596</v>
      </c>
      <c r="D53" s="12" t="s">
        <v>110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</row>
    <row r="54" spans="1:18" ht="28" x14ac:dyDescent="0.2">
      <c r="A54" s="9">
        <v>52</v>
      </c>
      <c r="B54" s="10" t="s">
        <v>590</v>
      </c>
      <c r="C54" s="11" t="s">
        <v>597</v>
      </c>
      <c r="D54" s="12" t="s">
        <v>110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</row>
    <row r="55" spans="1:18" ht="28" x14ac:dyDescent="0.2">
      <c r="A55" s="9">
        <v>53</v>
      </c>
      <c r="B55" s="10" t="s">
        <v>590</v>
      </c>
      <c r="C55" s="11" t="s">
        <v>598</v>
      </c>
      <c r="D55" s="12" t="s">
        <v>110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</row>
    <row r="56" spans="1:18" ht="28" x14ac:dyDescent="0.2">
      <c r="A56" s="9">
        <v>54</v>
      </c>
      <c r="B56" s="10" t="s">
        <v>590</v>
      </c>
      <c r="C56" s="11" t="s">
        <v>599</v>
      </c>
      <c r="D56" s="12" t="s">
        <v>110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</row>
    <row r="57" spans="1:18" ht="28" x14ac:dyDescent="0.2">
      <c r="A57" s="9">
        <v>55</v>
      </c>
      <c r="B57" s="10" t="s">
        <v>590</v>
      </c>
      <c r="C57" s="11" t="s">
        <v>600</v>
      </c>
      <c r="D57" s="13" t="s">
        <v>120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</row>
  </sheetData>
  <autoFilter ref="A2:R57" xr:uid="{00000000-0009-0000-0000-000006000000}"/>
  <mergeCells count="1">
    <mergeCell ref="A1:R1"/>
  </mergeCells>
  <conditionalFormatting sqref="K3:K57">
    <cfRule type="cellIs" dxfId="53" priority="6" operator="equal">
      <formula>"Evet"</formula>
    </cfRule>
  </conditionalFormatting>
  <conditionalFormatting sqref="R3:R57">
    <cfRule type="cellIs" dxfId="52" priority="2" operator="equal">
      <formula>"Dolduruldu"</formula>
    </cfRule>
    <cfRule type="cellIs" dxfId="51" priority="3" operator="equal">
      <formula>"Kısmen Dolduruldu"</formula>
    </cfRule>
    <cfRule type="cellIs" dxfId="50" priority="4" operator="equal">
      <formula>"Bilinmiyor"</formula>
    </cfRule>
    <cfRule type="cellIs" dxfId="49" priority="5" operator="equal">
      <formula>"Uygulanamaz"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00000000-0002-0000-0600-000000000000}">
          <x14:formula1>
            <xm:f>Listeler!$A$2:$A$18</xm:f>
          </x14:formula1>
          <x14:formula2>
            <xm:f>0</xm:f>
          </x14:formula2>
          <xm:sqref>G3:G67</xm:sqref>
        </x14:dataValidation>
        <x14:dataValidation type="list" allowBlank="1" showErrorMessage="1" xr:uid="{00000000-0002-0000-0600-000001000000}">
          <x14:formula1>
            <xm:f>Listeler!$B$2:$B$9</xm:f>
          </x14:formula1>
          <x14:formula2>
            <xm:f>0</xm:f>
          </x14:formula2>
          <xm:sqref>H3:H67</xm:sqref>
        </x14:dataValidation>
        <x14:dataValidation type="list" allowBlank="1" showErrorMessage="1" xr:uid="{00000000-0002-0000-0600-000002000000}">
          <x14:formula1>
            <xm:f>Listeler!$C$2:$C$5</xm:f>
          </x14:formula1>
          <x14:formula2>
            <xm:f>0</xm:f>
          </x14:formula2>
          <xm:sqref>K3:K67</xm:sqref>
        </x14:dataValidation>
        <x14:dataValidation type="list" allowBlank="1" showErrorMessage="1" xr:uid="{00000000-0002-0000-0600-000003000000}">
          <x14:formula1>
            <xm:f>Listeler!$D$2:$D$12</xm:f>
          </x14:formula1>
          <x14:formula2>
            <xm:f>0</xm:f>
          </x14:formula2>
          <xm:sqref>L3:L67</xm:sqref>
        </x14:dataValidation>
        <x14:dataValidation type="list" allowBlank="1" showErrorMessage="1" xr:uid="{00000000-0002-0000-0600-000004000000}">
          <x14:formula1>
            <xm:f>Listeler!$F$2:$F$5</xm:f>
          </x14:formula1>
          <x14:formula2>
            <xm:f>0</xm:f>
          </x14:formula2>
          <xm:sqref>N3:N67</xm:sqref>
        </x14:dataValidation>
        <x14:dataValidation type="list" allowBlank="1" showErrorMessage="1" xr:uid="{00000000-0002-0000-0600-000005000000}">
          <x14:formula1>
            <xm:f>Listeler!$G$2:$G$5</xm:f>
          </x14:formula1>
          <x14:formula2>
            <xm:f>0</xm:f>
          </x14:formula2>
          <xm:sqref>O3:O67</xm:sqref>
        </x14:dataValidation>
        <x14:dataValidation type="list" allowBlank="1" showErrorMessage="1" xr:uid="{00000000-0002-0000-0600-000006000000}">
          <x14:formula1>
            <xm:f>Listeler!$E$2:$E$5</xm:f>
          </x14:formula1>
          <x14:formula2>
            <xm:f>0</xm:f>
          </x14:formula2>
          <xm:sqref>R3:R67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48235"/>
  </sheetPr>
  <dimension ref="A1:R67"/>
  <sheetViews>
    <sheetView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sqref="A1:R1"/>
    </sheetView>
  </sheetViews>
  <sheetFormatPr baseColWidth="10" defaultColWidth="8.6640625" defaultRowHeight="15" x14ac:dyDescent="0.2"/>
  <cols>
    <col min="1" max="1" width="5" customWidth="1"/>
    <col min="2" max="2" width="16" customWidth="1"/>
    <col min="3" max="3" width="52" customWidth="1"/>
    <col min="4" max="4" width="10" customWidth="1"/>
    <col min="5" max="5" width="36" customWidth="1"/>
    <col min="6" max="6" width="26" customWidth="1"/>
    <col min="7" max="7" width="22" customWidth="1"/>
    <col min="8" max="10" width="20" customWidth="1"/>
    <col min="11" max="11" width="14" customWidth="1"/>
    <col min="12" max="12" width="30" customWidth="1"/>
    <col min="13" max="13" width="20" customWidth="1"/>
    <col min="14" max="15" width="12" customWidth="1"/>
    <col min="16" max="16" width="26" customWidth="1"/>
    <col min="17" max="17" width="14" customWidth="1"/>
    <col min="18" max="18" width="15" customWidth="1"/>
  </cols>
  <sheetData>
    <row r="1" spans="1:18" ht="24" customHeight="1" x14ac:dyDescent="0.2">
      <c r="A1" s="24" t="s">
        <v>601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30" customHeight="1" x14ac:dyDescent="0.2">
      <c r="A2" s="3" t="s">
        <v>90</v>
      </c>
      <c r="B2" s="3" t="s">
        <v>91</v>
      </c>
      <c r="C2" s="3" t="s">
        <v>92</v>
      </c>
      <c r="D2" s="3" t="s">
        <v>93</v>
      </c>
      <c r="E2" s="3" t="s">
        <v>94</v>
      </c>
      <c r="F2" s="3" t="s">
        <v>95</v>
      </c>
      <c r="G2" s="3" t="s">
        <v>96</v>
      </c>
      <c r="H2" s="3" t="s">
        <v>97</v>
      </c>
      <c r="I2" s="3" t="s">
        <v>98</v>
      </c>
      <c r="J2" s="3" t="s">
        <v>99</v>
      </c>
      <c r="K2" s="3" t="s">
        <v>100</v>
      </c>
      <c r="L2" s="3" t="s">
        <v>101</v>
      </c>
      <c r="M2" s="3" t="s">
        <v>102</v>
      </c>
      <c r="N2" s="3" t="s">
        <v>103</v>
      </c>
      <c r="O2" s="3" t="s">
        <v>104</v>
      </c>
      <c r="P2" s="3" t="s">
        <v>105</v>
      </c>
      <c r="Q2" s="3" t="s">
        <v>106</v>
      </c>
      <c r="R2" s="3" t="s">
        <v>107</v>
      </c>
    </row>
    <row r="3" spans="1:18" ht="28" x14ac:dyDescent="0.2">
      <c r="A3" s="9">
        <v>1</v>
      </c>
      <c r="B3" s="10" t="s">
        <v>602</v>
      </c>
      <c r="C3" s="11" t="s">
        <v>603</v>
      </c>
      <c r="D3" s="12" t="s">
        <v>110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28" x14ac:dyDescent="0.2">
      <c r="A4" s="9">
        <v>2</v>
      </c>
      <c r="B4" s="10" t="s">
        <v>602</v>
      </c>
      <c r="C4" s="11" t="s">
        <v>604</v>
      </c>
      <c r="D4" s="12" t="s">
        <v>110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x14ac:dyDescent="0.2">
      <c r="A5" s="9">
        <v>3</v>
      </c>
      <c r="B5" s="10" t="s">
        <v>602</v>
      </c>
      <c r="C5" s="11" t="s">
        <v>605</v>
      </c>
      <c r="D5" s="12" t="s">
        <v>110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ht="28" x14ac:dyDescent="0.2">
      <c r="A6" s="9">
        <v>4</v>
      </c>
      <c r="B6" s="10" t="s">
        <v>602</v>
      </c>
      <c r="C6" s="11" t="s">
        <v>606</v>
      </c>
      <c r="D6" s="12" t="s">
        <v>110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ht="28" x14ac:dyDescent="0.2">
      <c r="A7" s="9">
        <v>5</v>
      </c>
      <c r="B7" s="10" t="s">
        <v>602</v>
      </c>
      <c r="C7" s="11" t="s">
        <v>607</v>
      </c>
      <c r="D7" s="12" t="s">
        <v>110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x14ac:dyDescent="0.2">
      <c r="A8" s="9">
        <v>6</v>
      </c>
      <c r="B8" s="10" t="s">
        <v>602</v>
      </c>
      <c r="C8" s="11" t="s">
        <v>608</v>
      </c>
      <c r="D8" s="13" t="s">
        <v>120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ht="28" x14ac:dyDescent="0.2">
      <c r="A9" s="9">
        <v>7</v>
      </c>
      <c r="B9" s="10" t="s">
        <v>602</v>
      </c>
      <c r="C9" s="11" t="s">
        <v>609</v>
      </c>
      <c r="D9" s="12" t="s">
        <v>110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9">
        <v>8</v>
      </c>
      <c r="B10" s="10" t="s">
        <v>602</v>
      </c>
      <c r="C10" s="11" t="s">
        <v>610</v>
      </c>
      <c r="D10" s="13" t="s">
        <v>120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">
      <c r="A11" s="9">
        <v>9</v>
      </c>
      <c r="B11" s="10" t="s">
        <v>602</v>
      </c>
      <c r="C11" s="11" t="s">
        <v>611</v>
      </c>
      <c r="D11" s="12" t="s">
        <v>110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2">
      <c r="A12" s="9">
        <v>10</v>
      </c>
      <c r="B12" s="10" t="s">
        <v>602</v>
      </c>
      <c r="C12" s="11" t="s">
        <v>612</v>
      </c>
      <c r="D12" s="13" t="s">
        <v>120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x14ac:dyDescent="0.2">
      <c r="A13" s="9">
        <v>11</v>
      </c>
      <c r="B13" s="10" t="s">
        <v>602</v>
      </c>
      <c r="C13" s="11" t="s">
        <v>613</v>
      </c>
      <c r="D13" s="13" t="s">
        <v>120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ht="28" x14ac:dyDescent="0.2">
      <c r="A14" s="9">
        <v>12</v>
      </c>
      <c r="B14" s="10" t="s">
        <v>602</v>
      </c>
      <c r="C14" s="11" t="s">
        <v>614</v>
      </c>
      <c r="D14" s="12" t="s">
        <v>110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ht="28" x14ac:dyDescent="0.2">
      <c r="A15" s="9">
        <v>13</v>
      </c>
      <c r="B15" s="10" t="s">
        <v>615</v>
      </c>
      <c r="C15" s="11" t="s">
        <v>616</v>
      </c>
      <c r="D15" s="12" t="s">
        <v>110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ht="28" x14ac:dyDescent="0.2">
      <c r="A16" s="9">
        <v>14</v>
      </c>
      <c r="B16" s="10" t="s">
        <v>615</v>
      </c>
      <c r="C16" s="11" t="s">
        <v>617</v>
      </c>
      <c r="D16" s="12" t="s">
        <v>110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ht="28" x14ac:dyDescent="0.2">
      <c r="A17" s="9">
        <v>15</v>
      </c>
      <c r="B17" s="10" t="s">
        <v>615</v>
      </c>
      <c r="C17" s="11" t="s">
        <v>618</v>
      </c>
      <c r="D17" s="12" t="s">
        <v>110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x14ac:dyDescent="0.2">
      <c r="A18" s="9">
        <v>16</v>
      </c>
      <c r="B18" s="10" t="s">
        <v>615</v>
      </c>
      <c r="C18" s="11" t="s">
        <v>619</v>
      </c>
      <c r="D18" s="12" t="s">
        <v>110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ht="28" x14ac:dyDescent="0.2">
      <c r="A19" s="9">
        <v>17</v>
      </c>
      <c r="B19" s="10" t="s">
        <v>615</v>
      </c>
      <c r="C19" s="11" t="s">
        <v>620</v>
      </c>
      <c r="D19" s="12" t="s">
        <v>110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ht="28" x14ac:dyDescent="0.2">
      <c r="A20" s="9">
        <v>18</v>
      </c>
      <c r="B20" s="10" t="s">
        <v>615</v>
      </c>
      <c r="C20" s="11" t="s">
        <v>621</v>
      </c>
      <c r="D20" s="12" t="s">
        <v>110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ht="28" x14ac:dyDescent="0.2">
      <c r="A21" s="9">
        <v>19</v>
      </c>
      <c r="B21" s="10" t="s">
        <v>615</v>
      </c>
      <c r="C21" s="11" t="s">
        <v>622</v>
      </c>
      <c r="D21" s="13" t="s">
        <v>120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x14ac:dyDescent="0.2">
      <c r="A22" s="9">
        <v>20</v>
      </c>
      <c r="B22" s="10" t="s">
        <v>615</v>
      </c>
      <c r="C22" s="11" t="s">
        <v>623</v>
      </c>
      <c r="D22" s="13" t="s">
        <v>120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x14ac:dyDescent="0.2">
      <c r="A23" s="9">
        <v>21</v>
      </c>
      <c r="B23" s="10" t="s">
        <v>615</v>
      </c>
      <c r="C23" s="11" t="s">
        <v>624</v>
      </c>
      <c r="D23" s="13" t="s">
        <v>120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ht="28" x14ac:dyDescent="0.2">
      <c r="A24" s="9">
        <v>22</v>
      </c>
      <c r="B24" s="10" t="s">
        <v>615</v>
      </c>
      <c r="C24" s="11" t="s">
        <v>625</v>
      </c>
      <c r="D24" s="12" t="s">
        <v>110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ht="28" x14ac:dyDescent="0.2">
      <c r="A25" s="9">
        <v>23</v>
      </c>
      <c r="B25" s="10" t="s">
        <v>626</v>
      </c>
      <c r="C25" s="11" t="s">
        <v>627</v>
      </c>
      <c r="D25" s="12" t="s">
        <v>110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ht="28" x14ac:dyDescent="0.2">
      <c r="A26" s="9">
        <v>24</v>
      </c>
      <c r="B26" s="10" t="s">
        <v>626</v>
      </c>
      <c r="C26" s="11" t="s">
        <v>628</v>
      </c>
      <c r="D26" s="12" t="s">
        <v>110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ht="28" x14ac:dyDescent="0.2">
      <c r="A27" s="9">
        <v>25</v>
      </c>
      <c r="B27" s="10" t="s">
        <v>626</v>
      </c>
      <c r="C27" s="11" t="s">
        <v>629</v>
      </c>
      <c r="D27" s="12" t="s">
        <v>110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ht="28" x14ac:dyDescent="0.2">
      <c r="A28" s="9">
        <v>26</v>
      </c>
      <c r="B28" s="10" t="s">
        <v>626</v>
      </c>
      <c r="C28" s="11" t="s">
        <v>630</v>
      </c>
      <c r="D28" s="12" t="s">
        <v>110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ht="28" x14ac:dyDescent="0.2">
      <c r="A29" s="9">
        <v>27</v>
      </c>
      <c r="B29" s="10" t="s">
        <v>626</v>
      </c>
      <c r="C29" s="11" t="s">
        <v>631</v>
      </c>
      <c r="D29" s="12" t="s">
        <v>110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ht="28" x14ac:dyDescent="0.2">
      <c r="A30" s="9">
        <v>28</v>
      </c>
      <c r="B30" s="10" t="s">
        <v>626</v>
      </c>
      <c r="C30" s="11" t="s">
        <v>632</v>
      </c>
      <c r="D30" s="13" t="s">
        <v>120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 ht="28" x14ac:dyDescent="0.2">
      <c r="A31" s="9">
        <v>29</v>
      </c>
      <c r="B31" s="10" t="s">
        <v>626</v>
      </c>
      <c r="C31" s="11" t="s">
        <v>633</v>
      </c>
      <c r="D31" s="12" t="s">
        <v>110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ht="28" x14ac:dyDescent="0.2">
      <c r="A32" s="9">
        <v>30</v>
      </c>
      <c r="B32" s="10" t="s">
        <v>626</v>
      </c>
      <c r="C32" s="11" t="s">
        <v>634</v>
      </c>
      <c r="D32" s="13" t="s">
        <v>120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1:18" ht="28" x14ac:dyDescent="0.2">
      <c r="A33" s="9">
        <v>31</v>
      </c>
      <c r="B33" s="10" t="s">
        <v>626</v>
      </c>
      <c r="C33" s="11" t="s">
        <v>635</v>
      </c>
      <c r="D33" s="12" t="s">
        <v>110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 ht="28" x14ac:dyDescent="0.2">
      <c r="A34" s="9">
        <v>32</v>
      </c>
      <c r="B34" s="10" t="s">
        <v>626</v>
      </c>
      <c r="C34" s="11" t="s">
        <v>636</v>
      </c>
      <c r="D34" s="12" t="s">
        <v>110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1:18" ht="28" x14ac:dyDescent="0.2">
      <c r="A35" s="9">
        <v>33</v>
      </c>
      <c r="B35" s="10" t="s">
        <v>637</v>
      </c>
      <c r="C35" s="11" t="s">
        <v>638</v>
      </c>
      <c r="D35" s="12" t="s">
        <v>110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1:18" ht="28" x14ac:dyDescent="0.2">
      <c r="A36" s="9">
        <v>34</v>
      </c>
      <c r="B36" s="10" t="s">
        <v>637</v>
      </c>
      <c r="C36" s="11" t="s">
        <v>639</v>
      </c>
      <c r="D36" s="12" t="s">
        <v>110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 ht="28" x14ac:dyDescent="0.2">
      <c r="A37" s="9">
        <v>35</v>
      </c>
      <c r="B37" s="10" t="s">
        <v>637</v>
      </c>
      <c r="C37" s="11" t="s">
        <v>640</v>
      </c>
      <c r="D37" s="12" t="s">
        <v>110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 ht="28" x14ac:dyDescent="0.2">
      <c r="A38" s="9">
        <v>36</v>
      </c>
      <c r="B38" s="10" t="s">
        <v>637</v>
      </c>
      <c r="C38" s="11" t="s">
        <v>641</v>
      </c>
      <c r="D38" s="12" t="s">
        <v>110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1:18" ht="28" x14ac:dyDescent="0.2">
      <c r="A39" s="9">
        <v>37</v>
      </c>
      <c r="B39" s="10" t="s">
        <v>637</v>
      </c>
      <c r="C39" s="11" t="s">
        <v>642</v>
      </c>
      <c r="D39" s="12" t="s">
        <v>110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 ht="28" x14ac:dyDescent="0.2">
      <c r="A40" s="9">
        <v>38</v>
      </c>
      <c r="B40" s="10" t="s">
        <v>637</v>
      </c>
      <c r="C40" s="11" t="s">
        <v>643</v>
      </c>
      <c r="D40" s="12" t="s">
        <v>110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 ht="28" x14ac:dyDescent="0.2">
      <c r="A41" s="9">
        <v>39</v>
      </c>
      <c r="B41" s="10" t="s">
        <v>637</v>
      </c>
      <c r="C41" s="11" t="s">
        <v>644</v>
      </c>
      <c r="D41" s="12" t="s">
        <v>110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</row>
    <row r="42" spans="1:18" ht="28" x14ac:dyDescent="0.2">
      <c r="A42" s="9">
        <v>40</v>
      </c>
      <c r="B42" s="10" t="s">
        <v>637</v>
      </c>
      <c r="C42" s="11" t="s">
        <v>645</v>
      </c>
      <c r="D42" s="13" t="s">
        <v>120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</row>
    <row r="43" spans="1:18" ht="28" x14ac:dyDescent="0.2">
      <c r="A43" s="9">
        <v>41</v>
      </c>
      <c r="B43" s="10" t="s">
        <v>637</v>
      </c>
      <c r="C43" s="11" t="s">
        <v>646</v>
      </c>
      <c r="D43" s="12" t="s">
        <v>110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</row>
    <row r="44" spans="1:18" ht="28" x14ac:dyDescent="0.2">
      <c r="A44" s="9">
        <v>42</v>
      </c>
      <c r="B44" s="10" t="s">
        <v>637</v>
      </c>
      <c r="C44" s="11" t="s">
        <v>647</v>
      </c>
      <c r="D44" s="13" t="s">
        <v>120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1:18" ht="28" x14ac:dyDescent="0.2">
      <c r="A45" s="9">
        <v>43</v>
      </c>
      <c r="B45" s="10" t="s">
        <v>648</v>
      </c>
      <c r="C45" s="11" t="s">
        <v>649</v>
      </c>
      <c r="D45" s="12" t="s">
        <v>110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</row>
    <row r="46" spans="1:18" x14ac:dyDescent="0.2">
      <c r="A46" s="9">
        <v>44</v>
      </c>
      <c r="B46" s="10" t="s">
        <v>648</v>
      </c>
      <c r="C46" s="11" t="s">
        <v>650</v>
      </c>
      <c r="D46" s="12" t="s">
        <v>110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</row>
    <row r="47" spans="1:18" x14ac:dyDescent="0.2">
      <c r="A47" s="9">
        <v>45</v>
      </c>
      <c r="B47" s="10" t="s">
        <v>648</v>
      </c>
      <c r="C47" s="11" t="s">
        <v>651</v>
      </c>
      <c r="D47" s="12" t="s">
        <v>110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</row>
    <row r="48" spans="1:18" x14ac:dyDescent="0.2">
      <c r="A48" s="9">
        <v>46</v>
      </c>
      <c r="B48" s="10" t="s">
        <v>648</v>
      </c>
      <c r="C48" s="11" t="s">
        <v>652</v>
      </c>
      <c r="D48" s="12" t="s">
        <v>110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</row>
    <row r="49" spans="1:18" ht="28" x14ac:dyDescent="0.2">
      <c r="A49" s="9">
        <v>47</v>
      </c>
      <c r="B49" s="10" t="s">
        <v>648</v>
      </c>
      <c r="C49" s="11" t="s">
        <v>653</v>
      </c>
      <c r="D49" s="12" t="s">
        <v>110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</row>
    <row r="50" spans="1:18" ht="28" x14ac:dyDescent="0.2">
      <c r="A50" s="9">
        <v>48</v>
      </c>
      <c r="B50" s="10" t="s">
        <v>648</v>
      </c>
      <c r="C50" s="11" t="s">
        <v>654</v>
      </c>
      <c r="D50" s="13" t="s">
        <v>120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</row>
    <row r="51" spans="1:18" x14ac:dyDescent="0.2">
      <c r="A51" s="9">
        <v>49</v>
      </c>
      <c r="B51" s="10" t="s">
        <v>648</v>
      </c>
      <c r="C51" s="11" t="s">
        <v>655</v>
      </c>
      <c r="D51" s="13" t="s">
        <v>120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</row>
    <row r="52" spans="1:18" x14ac:dyDescent="0.2">
      <c r="A52" s="9">
        <v>50</v>
      </c>
      <c r="B52" s="10" t="s">
        <v>648</v>
      </c>
      <c r="C52" s="11" t="s">
        <v>656</v>
      </c>
      <c r="D52" s="12" t="s">
        <v>110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</row>
    <row r="53" spans="1:18" ht="28" x14ac:dyDescent="0.2">
      <c r="A53" s="9">
        <v>51</v>
      </c>
      <c r="B53" s="10" t="s">
        <v>657</v>
      </c>
      <c r="C53" s="11" t="s">
        <v>658</v>
      </c>
      <c r="D53" s="12" t="s">
        <v>110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</row>
    <row r="54" spans="1:18" ht="28" x14ac:dyDescent="0.2">
      <c r="A54" s="9">
        <v>52</v>
      </c>
      <c r="B54" s="10" t="s">
        <v>657</v>
      </c>
      <c r="C54" s="11" t="s">
        <v>659</v>
      </c>
      <c r="D54" s="12" t="s">
        <v>110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</row>
    <row r="55" spans="1:18" ht="28" x14ac:dyDescent="0.2">
      <c r="A55" s="9">
        <v>53</v>
      </c>
      <c r="B55" s="10" t="s">
        <v>657</v>
      </c>
      <c r="C55" s="11" t="s">
        <v>660</v>
      </c>
      <c r="D55" s="12" t="s">
        <v>110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</row>
    <row r="56" spans="1:18" ht="28" x14ac:dyDescent="0.2">
      <c r="A56" s="9">
        <v>54</v>
      </c>
      <c r="B56" s="10" t="s">
        <v>657</v>
      </c>
      <c r="C56" s="11" t="s">
        <v>661</v>
      </c>
      <c r="D56" s="12" t="s">
        <v>110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</row>
    <row r="57" spans="1:18" ht="28" x14ac:dyDescent="0.2">
      <c r="A57" s="9">
        <v>55</v>
      </c>
      <c r="B57" s="10" t="s">
        <v>657</v>
      </c>
      <c r="C57" s="11" t="s">
        <v>662</v>
      </c>
      <c r="D57" s="12" t="s">
        <v>110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</row>
    <row r="58" spans="1:18" ht="28" x14ac:dyDescent="0.2">
      <c r="A58" s="9">
        <v>56</v>
      </c>
      <c r="B58" s="10" t="s">
        <v>657</v>
      </c>
      <c r="C58" s="11" t="s">
        <v>663</v>
      </c>
      <c r="D58" s="13" t="s">
        <v>120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</row>
    <row r="59" spans="1:18" ht="28" x14ac:dyDescent="0.2">
      <c r="A59" s="9">
        <v>57</v>
      </c>
      <c r="B59" s="10" t="s">
        <v>657</v>
      </c>
      <c r="C59" s="11" t="s">
        <v>664</v>
      </c>
      <c r="D59" s="13" t="s">
        <v>120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</row>
    <row r="60" spans="1:18" ht="28" x14ac:dyDescent="0.2">
      <c r="A60" s="9">
        <v>58</v>
      </c>
      <c r="B60" s="10" t="s">
        <v>657</v>
      </c>
      <c r="C60" s="11" t="s">
        <v>665</v>
      </c>
      <c r="D60" s="12" t="s">
        <v>110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</row>
    <row r="61" spans="1:18" ht="28" x14ac:dyDescent="0.2">
      <c r="A61" s="9">
        <v>59</v>
      </c>
      <c r="B61" s="10" t="s">
        <v>657</v>
      </c>
      <c r="C61" s="11" t="s">
        <v>666</v>
      </c>
      <c r="D61" s="12" t="s">
        <v>110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</row>
    <row r="62" spans="1:18" ht="28" x14ac:dyDescent="0.2">
      <c r="A62" s="9">
        <v>60</v>
      </c>
      <c r="B62" s="10" t="s">
        <v>657</v>
      </c>
      <c r="C62" s="11" t="s">
        <v>667</v>
      </c>
      <c r="D62" s="12" t="s">
        <v>110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</row>
    <row r="63" spans="1:18" ht="28" x14ac:dyDescent="0.2">
      <c r="A63" s="9">
        <v>61</v>
      </c>
      <c r="B63" s="10" t="s">
        <v>668</v>
      </c>
      <c r="C63" s="11" t="s">
        <v>669</v>
      </c>
      <c r="D63" s="13" t="s">
        <v>120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</row>
    <row r="64" spans="1:18" ht="28" x14ac:dyDescent="0.2">
      <c r="A64" s="9">
        <v>62</v>
      </c>
      <c r="B64" s="10" t="s">
        <v>668</v>
      </c>
      <c r="C64" s="11" t="s">
        <v>670</v>
      </c>
      <c r="D64" s="12" t="s">
        <v>110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</row>
    <row r="65" spans="1:18" ht="28" x14ac:dyDescent="0.2">
      <c r="A65" s="9">
        <v>63</v>
      </c>
      <c r="B65" s="10" t="s">
        <v>668</v>
      </c>
      <c r="C65" s="11" t="s">
        <v>671</v>
      </c>
      <c r="D65" s="13" t="s">
        <v>120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</row>
    <row r="66" spans="1:18" ht="28" x14ac:dyDescent="0.2">
      <c r="A66" s="9">
        <v>64</v>
      </c>
      <c r="B66" s="10" t="s">
        <v>668</v>
      </c>
      <c r="C66" s="11" t="s">
        <v>672</v>
      </c>
      <c r="D66" s="12" t="s">
        <v>110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</row>
    <row r="67" spans="1:18" ht="28" x14ac:dyDescent="0.2">
      <c r="A67" s="9">
        <v>65</v>
      </c>
      <c r="B67" s="10" t="s">
        <v>668</v>
      </c>
      <c r="C67" s="11" t="s">
        <v>673</v>
      </c>
      <c r="D67" s="13" t="s">
        <v>120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</row>
  </sheetData>
  <autoFilter ref="A2:R67" xr:uid="{00000000-0009-0000-0000-000007000000}"/>
  <mergeCells count="1">
    <mergeCell ref="A1:R1"/>
  </mergeCells>
  <conditionalFormatting sqref="K3:K67">
    <cfRule type="cellIs" dxfId="48" priority="6" operator="equal">
      <formula>"Evet"</formula>
    </cfRule>
  </conditionalFormatting>
  <conditionalFormatting sqref="R3:R67">
    <cfRule type="cellIs" dxfId="47" priority="2" operator="equal">
      <formula>"Dolduruldu"</formula>
    </cfRule>
    <cfRule type="cellIs" dxfId="46" priority="3" operator="equal">
      <formula>"Kısmen Dolduruldu"</formula>
    </cfRule>
    <cfRule type="cellIs" dxfId="45" priority="4" operator="equal">
      <formula>"Bilinmiyor"</formula>
    </cfRule>
    <cfRule type="cellIs" dxfId="44" priority="5" operator="equal">
      <formula>"Uygulanamaz"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00000000-0002-0000-0700-000000000000}">
          <x14:formula1>
            <xm:f>Listeler!$A$2:$A$18</xm:f>
          </x14:formula1>
          <x14:formula2>
            <xm:f>0</xm:f>
          </x14:formula2>
          <xm:sqref>G3:G77</xm:sqref>
        </x14:dataValidation>
        <x14:dataValidation type="list" allowBlank="1" showErrorMessage="1" xr:uid="{00000000-0002-0000-0700-000001000000}">
          <x14:formula1>
            <xm:f>Listeler!$B$2:$B$9</xm:f>
          </x14:formula1>
          <x14:formula2>
            <xm:f>0</xm:f>
          </x14:formula2>
          <xm:sqref>H3:H77</xm:sqref>
        </x14:dataValidation>
        <x14:dataValidation type="list" allowBlank="1" showErrorMessage="1" xr:uid="{00000000-0002-0000-0700-000002000000}">
          <x14:formula1>
            <xm:f>Listeler!$C$2:$C$5</xm:f>
          </x14:formula1>
          <x14:formula2>
            <xm:f>0</xm:f>
          </x14:formula2>
          <xm:sqref>K3:K77</xm:sqref>
        </x14:dataValidation>
        <x14:dataValidation type="list" allowBlank="1" showErrorMessage="1" xr:uid="{00000000-0002-0000-0700-000003000000}">
          <x14:formula1>
            <xm:f>Listeler!$D$2:$D$12</xm:f>
          </x14:formula1>
          <x14:formula2>
            <xm:f>0</xm:f>
          </x14:formula2>
          <xm:sqref>L3:L77</xm:sqref>
        </x14:dataValidation>
        <x14:dataValidation type="list" allowBlank="1" showErrorMessage="1" xr:uid="{00000000-0002-0000-0700-000004000000}">
          <x14:formula1>
            <xm:f>Listeler!$F$2:$F$5</xm:f>
          </x14:formula1>
          <x14:formula2>
            <xm:f>0</xm:f>
          </x14:formula2>
          <xm:sqref>N3:N77</xm:sqref>
        </x14:dataValidation>
        <x14:dataValidation type="list" allowBlank="1" showErrorMessage="1" xr:uid="{00000000-0002-0000-0700-000005000000}">
          <x14:formula1>
            <xm:f>Listeler!$G$2:$G$5</xm:f>
          </x14:formula1>
          <x14:formula2>
            <xm:f>0</xm:f>
          </x14:formula2>
          <xm:sqref>O3:O77</xm:sqref>
        </x14:dataValidation>
        <x14:dataValidation type="list" allowBlank="1" showErrorMessage="1" xr:uid="{00000000-0002-0000-0700-000006000000}">
          <x14:formula1>
            <xm:f>Listeler!$E$2:$E$5</xm:f>
          </x14:formula1>
          <x14:formula2>
            <xm:f>0</xm:f>
          </x14:formula2>
          <xm:sqref>R3:R77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48235"/>
  </sheetPr>
  <dimension ref="A1:R42"/>
  <sheetViews>
    <sheetView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sqref="A1:R1"/>
    </sheetView>
  </sheetViews>
  <sheetFormatPr baseColWidth="10" defaultColWidth="8.6640625" defaultRowHeight="15" x14ac:dyDescent="0.2"/>
  <cols>
    <col min="1" max="1" width="5" customWidth="1"/>
    <col min="2" max="2" width="16" customWidth="1"/>
    <col min="3" max="3" width="52" customWidth="1"/>
    <col min="4" max="4" width="10" customWidth="1"/>
    <col min="5" max="5" width="36" customWidth="1"/>
    <col min="6" max="6" width="26" customWidth="1"/>
    <col min="7" max="7" width="22" customWidth="1"/>
    <col min="8" max="10" width="20" customWidth="1"/>
    <col min="11" max="11" width="14" customWidth="1"/>
    <col min="12" max="12" width="30" customWidth="1"/>
    <col min="13" max="13" width="20" customWidth="1"/>
    <col min="14" max="15" width="12" customWidth="1"/>
    <col min="16" max="16" width="26" customWidth="1"/>
    <col min="17" max="17" width="14" customWidth="1"/>
    <col min="18" max="18" width="15" customWidth="1"/>
  </cols>
  <sheetData>
    <row r="1" spans="1:18" ht="24" customHeight="1" x14ac:dyDescent="0.2">
      <c r="A1" s="24" t="s">
        <v>674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30" customHeight="1" x14ac:dyDescent="0.2">
      <c r="A2" s="3" t="s">
        <v>90</v>
      </c>
      <c r="B2" s="3" t="s">
        <v>91</v>
      </c>
      <c r="C2" s="3" t="s">
        <v>92</v>
      </c>
      <c r="D2" s="3" t="s">
        <v>93</v>
      </c>
      <c r="E2" s="3" t="s">
        <v>94</v>
      </c>
      <c r="F2" s="3" t="s">
        <v>95</v>
      </c>
      <c r="G2" s="3" t="s">
        <v>96</v>
      </c>
      <c r="H2" s="3" t="s">
        <v>97</v>
      </c>
      <c r="I2" s="3" t="s">
        <v>98</v>
      </c>
      <c r="J2" s="3" t="s">
        <v>99</v>
      </c>
      <c r="K2" s="3" t="s">
        <v>100</v>
      </c>
      <c r="L2" s="3" t="s">
        <v>101</v>
      </c>
      <c r="M2" s="3" t="s">
        <v>102</v>
      </c>
      <c r="N2" s="3" t="s">
        <v>103</v>
      </c>
      <c r="O2" s="3" t="s">
        <v>104</v>
      </c>
      <c r="P2" s="3" t="s">
        <v>105</v>
      </c>
      <c r="Q2" s="3" t="s">
        <v>106</v>
      </c>
      <c r="R2" s="3" t="s">
        <v>107</v>
      </c>
    </row>
    <row r="3" spans="1:18" ht="28" x14ac:dyDescent="0.2">
      <c r="A3" s="9">
        <v>1</v>
      </c>
      <c r="B3" s="10" t="s">
        <v>675</v>
      </c>
      <c r="C3" s="11" t="s">
        <v>676</v>
      </c>
      <c r="D3" s="12" t="s">
        <v>110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28" x14ac:dyDescent="0.2">
      <c r="A4" s="9">
        <v>2</v>
      </c>
      <c r="B4" s="10" t="s">
        <v>675</v>
      </c>
      <c r="C4" s="11" t="s">
        <v>677</v>
      </c>
      <c r="D4" s="12" t="s">
        <v>110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28" x14ac:dyDescent="0.2">
      <c r="A5" s="9">
        <v>3</v>
      </c>
      <c r="B5" s="10" t="s">
        <v>675</v>
      </c>
      <c r="C5" s="11" t="s">
        <v>678</v>
      </c>
      <c r="D5" s="12" t="s">
        <v>110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x14ac:dyDescent="0.2">
      <c r="A6" s="9">
        <v>4</v>
      </c>
      <c r="B6" s="10" t="s">
        <v>675</v>
      </c>
      <c r="C6" s="11" t="s">
        <v>679</v>
      </c>
      <c r="D6" s="12" t="s">
        <v>110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x14ac:dyDescent="0.2">
      <c r="A7" s="9">
        <v>5</v>
      </c>
      <c r="B7" s="10" t="s">
        <v>675</v>
      </c>
      <c r="C7" s="11" t="s">
        <v>680</v>
      </c>
      <c r="D7" s="12" t="s">
        <v>110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x14ac:dyDescent="0.2">
      <c r="A8" s="9">
        <v>6</v>
      </c>
      <c r="B8" s="10" t="s">
        <v>675</v>
      </c>
      <c r="C8" s="11" t="s">
        <v>681</v>
      </c>
      <c r="D8" s="13" t="s">
        <v>120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">
      <c r="A9" s="9">
        <v>7</v>
      </c>
      <c r="B9" s="10" t="s">
        <v>675</v>
      </c>
      <c r="C9" s="11" t="s">
        <v>682</v>
      </c>
      <c r="D9" s="12" t="s">
        <v>110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9">
        <v>8</v>
      </c>
      <c r="B10" s="10" t="s">
        <v>675</v>
      </c>
      <c r="C10" s="11" t="s">
        <v>683</v>
      </c>
      <c r="D10" s="13" t="s">
        <v>120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ht="28" x14ac:dyDescent="0.2">
      <c r="A11" s="9">
        <v>9</v>
      </c>
      <c r="B11" s="10" t="s">
        <v>684</v>
      </c>
      <c r="C11" s="11" t="s">
        <v>685</v>
      </c>
      <c r="D11" s="12" t="s">
        <v>110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2">
      <c r="A12" s="9">
        <v>10</v>
      </c>
      <c r="B12" s="10" t="s">
        <v>684</v>
      </c>
      <c r="C12" s="11" t="s">
        <v>686</v>
      </c>
      <c r="D12" s="12" t="s">
        <v>110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x14ac:dyDescent="0.2">
      <c r="A13" s="9">
        <v>11</v>
      </c>
      <c r="B13" s="10" t="s">
        <v>684</v>
      </c>
      <c r="C13" s="11" t="s">
        <v>687</v>
      </c>
      <c r="D13" s="13" t="s">
        <v>120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x14ac:dyDescent="0.2">
      <c r="A14" s="9">
        <v>12</v>
      </c>
      <c r="B14" s="10" t="s">
        <v>684</v>
      </c>
      <c r="C14" s="11" t="s">
        <v>688</v>
      </c>
      <c r="D14" s="12" t="s">
        <v>110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ht="28" x14ac:dyDescent="0.2">
      <c r="A15" s="9">
        <v>13</v>
      </c>
      <c r="B15" s="10" t="s">
        <v>684</v>
      </c>
      <c r="C15" s="11" t="s">
        <v>689</v>
      </c>
      <c r="D15" s="12" t="s">
        <v>110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x14ac:dyDescent="0.2">
      <c r="A16" s="9">
        <v>14</v>
      </c>
      <c r="B16" s="10" t="s">
        <v>684</v>
      </c>
      <c r="C16" s="11" t="s">
        <v>690</v>
      </c>
      <c r="D16" s="13" t="s">
        <v>120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x14ac:dyDescent="0.2">
      <c r="A17" s="9">
        <v>15</v>
      </c>
      <c r="B17" s="10" t="s">
        <v>684</v>
      </c>
      <c r="C17" s="11" t="s">
        <v>691</v>
      </c>
      <c r="D17" s="13" t="s">
        <v>120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ht="28" x14ac:dyDescent="0.2">
      <c r="A18" s="9">
        <v>16</v>
      </c>
      <c r="B18" s="10" t="s">
        <v>684</v>
      </c>
      <c r="C18" s="11" t="s">
        <v>692</v>
      </c>
      <c r="D18" s="12" t="s">
        <v>110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ht="28" x14ac:dyDescent="0.2">
      <c r="A19" s="9">
        <v>17</v>
      </c>
      <c r="B19" s="10" t="s">
        <v>684</v>
      </c>
      <c r="C19" s="11" t="s">
        <v>693</v>
      </c>
      <c r="D19" s="13" t="s">
        <v>120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x14ac:dyDescent="0.2">
      <c r="A20" s="9">
        <v>18</v>
      </c>
      <c r="B20" s="10" t="s">
        <v>684</v>
      </c>
      <c r="C20" s="11" t="s">
        <v>694</v>
      </c>
      <c r="D20" s="12" t="s">
        <v>110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ht="28" x14ac:dyDescent="0.2">
      <c r="A21" s="9">
        <v>19</v>
      </c>
      <c r="B21" s="10" t="s">
        <v>695</v>
      </c>
      <c r="C21" s="11" t="s">
        <v>696</v>
      </c>
      <c r="D21" s="12" t="s">
        <v>110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x14ac:dyDescent="0.2">
      <c r="A22" s="9">
        <v>20</v>
      </c>
      <c r="B22" s="10" t="s">
        <v>695</v>
      </c>
      <c r="C22" s="11" t="s">
        <v>697</v>
      </c>
      <c r="D22" s="12" t="s">
        <v>110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ht="28" x14ac:dyDescent="0.2">
      <c r="A23" s="9">
        <v>21</v>
      </c>
      <c r="B23" s="10" t="s">
        <v>695</v>
      </c>
      <c r="C23" s="11" t="s">
        <v>698</v>
      </c>
      <c r="D23" s="12" t="s">
        <v>110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ht="28" x14ac:dyDescent="0.2">
      <c r="A24" s="9">
        <v>22</v>
      </c>
      <c r="B24" s="10" t="s">
        <v>695</v>
      </c>
      <c r="C24" s="11" t="s">
        <v>699</v>
      </c>
      <c r="D24" s="12" t="s">
        <v>110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x14ac:dyDescent="0.2">
      <c r="A25" s="9">
        <v>23</v>
      </c>
      <c r="B25" s="10" t="s">
        <v>695</v>
      </c>
      <c r="C25" s="11" t="s">
        <v>700</v>
      </c>
      <c r="D25" s="12" t="s">
        <v>110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ht="28" x14ac:dyDescent="0.2">
      <c r="A26" s="9">
        <v>24</v>
      </c>
      <c r="B26" s="10" t="s">
        <v>695</v>
      </c>
      <c r="C26" s="11" t="s">
        <v>701</v>
      </c>
      <c r="D26" s="13" t="s">
        <v>120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ht="28" x14ac:dyDescent="0.2">
      <c r="A27" s="9">
        <v>25</v>
      </c>
      <c r="B27" s="10" t="s">
        <v>702</v>
      </c>
      <c r="C27" s="11" t="s">
        <v>703</v>
      </c>
      <c r="D27" s="12" t="s">
        <v>110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x14ac:dyDescent="0.2">
      <c r="A28" s="9">
        <v>26</v>
      </c>
      <c r="B28" s="10" t="s">
        <v>702</v>
      </c>
      <c r="C28" s="11" t="s">
        <v>704</v>
      </c>
      <c r="D28" s="13" t="s">
        <v>120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x14ac:dyDescent="0.2">
      <c r="A29" s="9">
        <v>27</v>
      </c>
      <c r="B29" s="10" t="s">
        <v>702</v>
      </c>
      <c r="C29" s="11" t="s">
        <v>705</v>
      </c>
      <c r="D29" s="13" t="s">
        <v>120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x14ac:dyDescent="0.2">
      <c r="A30" s="9">
        <v>28</v>
      </c>
      <c r="B30" s="10" t="s">
        <v>702</v>
      </c>
      <c r="C30" s="11" t="s">
        <v>706</v>
      </c>
      <c r="D30" s="12" t="s">
        <v>110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 x14ac:dyDescent="0.2">
      <c r="A31" s="9">
        <v>29</v>
      </c>
      <c r="B31" s="10" t="s">
        <v>702</v>
      </c>
      <c r="C31" s="11" t="s">
        <v>707</v>
      </c>
      <c r="D31" s="13" t="s">
        <v>120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x14ac:dyDescent="0.2">
      <c r="A32" s="9">
        <v>30</v>
      </c>
      <c r="B32" s="10" t="s">
        <v>708</v>
      </c>
      <c r="C32" s="11" t="s">
        <v>709</v>
      </c>
      <c r="D32" s="12" t="s">
        <v>110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1:18" x14ac:dyDescent="0.2">
      <c r="A33" s="9">
        <v>31</v>
      </c>
      <c r="B33" s="10" t="s">
        <v>708</v>
      </c>
      <c r="C33" s="11" t="s">
        <v>710</v>
      </c>
      <c r="D33" s="12" t="s">
        <v>110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 x14ac:dyDescent="0.2">
      <c r="A34" s="9">
        <v>32</v>
      </c>
      <c r="B34" s="10" t="s">
        <v>708</v>
      </c>
      <c r="C34" s="11" t="s">
        <v>711</v>
      </c>
      <c r="D34" s="12" t="s">
        <v>110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1:18" ht="28" x14ac:dyDescent="0.2">
      <c r="A35" s="9">
        <v>33</v>
      </c>
      <c r="B35" s="10" t="s">
        <v>708</v>
      </c>
      <c r="C35" s="11" t="s">
        <v>712</v>
      </c>
      <c r="D35" s="13" t="s">
        <v>120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1:18" ht="28" x14ac:dyDescent="0.2">
      <c r="A36" s="9">
        <v>34</v>
      </c>
      <c r="B36" s="10" t="s">
        <v>708</v>
      </c>
      <c r="C36" s="11" t="s">
        <v>713</v>
      </c>
      <c r="D36" s="12" t="s">
        <v>110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 x14ac:dyDescent="0.2">
      <c r="A37" s="9">
        <v>35</v>
      </c>
      <c r="B37" s="10" t="s">
        <v>708</v>
      </c>
      <c r="C37" s="11" t="s">
        <v>714</v>
      </c>
      <c r="D37" s="13" t="s">
        <v>120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 ht="28" x14ac:dyDescent="0.2">
      <c r="A38" s="9">
        <v>36</v>
      </c>
      <c r="B38" s="10" t="s">
        <v>715</v>
      </c>
      <c r="C38" s="11" t="s">
        <v>716</v>
      </c>
      <c r="D38" s="12" t="s">
        <v>110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1:18" ht="28" x14ac:dyDescent="0.2">
      <c r="A39" s="9">
        <v>37</v>
      </c>
      <c r="B39" s="10" t="s">
        <v>715</v>
      </c>
      <c r="C39" s="11" t="s">
        <v>717</v>
      </c>
      <c r="D39" s="12" t="s">
        <v>110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 ht="28" x14ac:dyDescent="0.2">
      <c r="A40" s="9">
        <v>38</v>
      </c>
      <c r="B40" s="10" t="s">
        <v>715</v>
      </c>
      <c r="C40" s="11" t="s">
        <v>718</v>
      </c>
      <c r="D40" s="12" t="s">
        <v>110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 x14ac:dyDescent="0.2">
      <c r="A41" s="9">
        <v>39</v>
      </c>
      <c r="B41" s="10" t="s">
        <v>715</v>
      </c>
      <c r="C41" s="11" t="s">
        <v>719</v>
      </c>
      <c r="D41" s="13" t="s">
        <v>120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</row>
    <row r="42" spans="1:18" ht="28" x14ac:dyDescent="0.2">
      <c r="A42" s="9">
        <v>40</v>
      </c>
      <c r="B42" s="10" t="s">
        <v>715</v>
      </c>
      <c r="C42" s="11" t="s">
        <v>720</v>
      </c>
      <c r="D42" s="12" t="s">
        <v>110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</row>
  </sheetData>
  <autoFilter ref="A2:R42" xr:uid="{00000000-0009-0000-0000-000008000000}"/>
  <mergeCells count="1">
    <mergeCell ref="A1:R1"/>
  </mergeCells>
  <conditionalFormatting sqref="K3:K42">
    <cfRule type="cellIs" dxfId="43" priority="6" operator="equal">
      <formula>"Evet"</formula>
    </cfRule>
  </conditionalFormatting>
  <conditionalFormatting sqref="R3:R42">
    <cfRule type="cellIs" dxfId="42" priority="2" operator="equal">
      <formula>"Dolduruldu"</formula>
    </cfRule>
    <cfRule type="cellIs" dxfId="41" priority="3" operator="equal">
      <formula>"Kısmen Dolduruldu"</formula>
    </cfRule>
    <cfRule type="cellIs" dxfId="40" priority="4" operator="equal">
      <formula>"Bilinmiyor"</formula>
    </cfRule>
    <cfRule type="cellIs" dxfId="39" priority="5" operator="equal">
      <formula>"Uygulanamaz"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00000000-0002-0000-0800-000000000000}">
          <x14:formula1>
            <xm:f>Listeler!$A$2:$A$18</xm:f>
          </x14:formula1>
          <x14:formula2>
            <xm:f>0</xm:f>
          </x14:formula2>
          <xm:sqref>G3:G52</xm:sqref>
        </x14:dataValidation>
        <x14:dataValidation type="list" allowBlank="1" showErrorMessage="1" xr:uid="{00000000-0002-0000-0800-000001000000}">
          <x14:formula1>
            <xm:f>Listeler!$B$2:$B$9</xm:f>
          </x14:formula1>
          <x14:formula2>
            <xm:f>0</xm:f>
          </x14:formula2>
          <xm:sqref>H3:H52</xm:sqref>
        </x14:dataValidation>
        <x14:dataValidation type="list" allowBlank="1" showErrorMessage="1" xr:uid="{00000000-0002-0000-0800-000002000000}">
          <x14:formula1>
            <xm:f>Listeler!$C$2:$C$5</xm:f>
          </x14:formula1>
          <x14:formula2>
            <xm:f>0</xm:f>
          </x14:formula2>
          <xm:sqref>K3:K52</xm:sqref>
        </x14:dataValidation>
        <x14:dataValidation type="list" allowBlank="1" showErrorMessage="1" xr:uid="{00000000-0002-0000-0800-000003000000}">
          <x14:formula1>
            <xm:f>Listeler!$D$2:$D$12</xm:f>
          </x14:formula1>
          <x14:formula2>
            <xm:f>0</xm:f>
          </x14:formula2>
          <xm:sqref>L3:L52</xm:sqref>
        </x14:dataValidation>
        <x14:dataValidation type="list" allowBlank="1" showErrorMessage="1" xr:uid="{00000000-0002-0000-0800-000004000000}">
          <x14:formula1>
            <xm:f>Listeler!$F$2:$F$5</xm:f>
          </x14:formula1>
          <x14:formula2>
            <xm:f>0</xm:f>
          </x14:formula2>
          <xm:sqref>N3:N52</xm:sqref>
        </x14:dataValidation>
        <x14:dataValidation type="list" allowBlank="1" showErrorMessage="1" xr:uid="{00000000-0002-0000-0800-000005000000}">
          <x14:formula1>
            <xm:f>Listeler!$G$2:$G$5</xm:f>
          </x14:formula1>
          <x14:formula2>
            <xm:f>0</xm:f>
          </x14:formula2>
          <xm:sqref>O3:O52</xm:sqref>
        </x14:dataValidation>
        <x14:dataValidation type="list" allowBlank="1" showErrorMessage="1" xr:uid="{00000000-0002-0000-0800-000006000000}">
          <x14:formula1>
            <xm:f>Listeler!$E$2:$E$5</xm:f>
          </x14:formula1>
          <x14:formula2>
            <xm:f>0</xm:f>
          </x14:formula2>
          <xm:sqref>R3:R52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8F00"/>
  </sheetPr>
  <dimension ref="A1:R50"/>
  <sheetViews>
    <sheetView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5" customWidth="1"/>
    <col min="2" max="2" width="16" customWidth="1"/>
    <col min="3" max="3" width="52" customWidth="1"/>
    <col min="4" max="4" width="10" customWidth="1"/>
    <col min="5" max="5" width="36" customWidth="1"/>
    <col min="6" max="6" width="26" customWidth="1"/>
    <col min="7" max="7" width="22" customWidth="1"/>
    <col min="8" max="10" width="20" customWidth="1"/>
    <col min="11" max="11" width="14" customWidth="1"/>
    <col min="12" max="12" width="30" customWidth="1"/>
    <col min="13" max="13" width="20" customWidth="1"/>
    <col min="14" max="15" width="12" customWidth="1"/>
    <col min="16" max="16" width="26" customWidth="1"/>
    <col min="17" max="17" width="14" customWidth="1"/>
    <col min="18" max="18" width="15" customWidth="1"/>
  </cols>
  <sheetData>
    <row r="1" spans="1:18" ht="24" customHeight="1" x14ac:dyDescent="0.2">
      <c r="A1" s="24" t="s">
        <v>721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30" customHeight="1" x14ac:dyDescent="0.2">
      <c r="A2" s="3" t="s">
        <v>90</v>
      </c>
      <c r="B2" s="3" t="s">
        <v>91</v>
      </c>
      <c r="C2" s="3" t="s">
        <v>92</v>
      </c>
      <c r="D2" s="3" t="s">
        <v>93</v>
      </c>
      <c r="E2" s="3" t="s">
        <v>94</v>
      </c>
      <c r="F2" s="3" t="s">
        <v>95</v>
      </c>
      <c r="G2" s="3" t="s">
        <v>96</v>
      </c>
      <c r="H2" s="3" t="s">
        <v>97</v>
      </c>
      <c r="I2" s="3" t="s">
        <v>98</v>
      </c>
      <c r="J2" s="3" t="s">
        <v>99</v>
      </c>
      <c r="K2" s="3" t="s">
        <v>100</v>
      </c>
      <c r="L2" s="3" t="s">
        <v>101</v>
      </c>
      <c r="M2" s="3" t="s">
        <v>102</v>
      </c>
      <c r="N2" s="3" t="s">
        <v>103</v>
      </c>
      <c r="O2" s="3" t="s">
        <v>104</v>
      </c>
      <c r="P2" s="3" t="s">
        <v>105</v>
      </c>
      <c r="Q2" s="3" t="s">
        <v>106</v>
      </c>
      <c r="R2" s="3" t="s">
        <v>107</v>
      </c>
    </row>
    <row r="3" spans="1:18" x14ac:dyDescent="0.2">
      <c r="A3" s="9">
        <v>1</v>
      </c>
      <c r="B3" s="10" t="s">
        <v>722</v>
      </c>
      <c r="C3" s="11" t="s">
        <v>723</v>
      </c>
      <c r="D3" s="12" t="s">
        <v>110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x14ac:dyDescent="0.2">
      <c r="A4" s="9">
        <v>2</v>
      </c>
      <c r="B4" s="10" t="s">
        <v>722</v>
      </c>
      <c r="C4" s="11" t="s">
        <v>724</v>
      </c>
      <c r="D4" s="12" t="s">
        <v>110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28" x14ac:dyDescent="0.2">
      <c r="A5" s="9">
        <v>3</v>
      </c>
      <c r="B5" s="10" t="s">
        <v>722</v>
      </c>
      <c r="C5" s="11" t="s">
        <v>725</v>
      </c>
      <c r="D5" s="12" t="s">
        <v>110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x14ac:dyDescent="0.2">
      <c r="A6" s="9">
        <v>4</v>
      </c>
      <c r="B6" s="10" t="s">
        <v>722</v>
      </c>
      <c r="C6" s="11" t="s">
        <v>726</v>
      </c>
      <c r="D6" s="13" t="s">
        <v>120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x14ac:dyDescent="0.2">
      <c r="A7" s="9">
        <v>5</v>
      </c>
      <c r="B7" s="10" t="s">
        <v>722</v>
      </c>
      <c r="C7" s="11" t="s">
        <v>727</v>
      </c>
      <c r="D7" s="12" t="s">
        <v>110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x14ac:dyDescent="0.2">
      <c r="A8" s="9">
        <v>6</v>
      </c>
      <c r="B8" s="10" t="s">
        <v>722</v>
      </c>
      <c r="C8" s="11" t="s">
        <v>728</v>
      </c>
      <c r="D8" s="12" t="s">
        <v>110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ht="28" x14ac:dyDescent="0.2">
      <c r="A9" s="9">
        <v>7</v>
      </c>
      <c r="B9" s="10" t="s">
        <v>722</v>
      </c>
      <c r="C9" s="11" t="s">
        <v>729</v>
      </c>
      <c r="D9" s="13" t="s">
        <v>120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9">
        <v>8</v>
      </c>
      <c r="B10" s="10" t="s">
        <v>722</v>
      </c>
      <c r="C10" s="11" t="s">
        <v>730</v>
      </c>
      <c r="D10" s="13" t="s">
        <v>120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ht="28" x14ac:dyDescent="0.2">
      <c r="A11" s="9">
        <v>9</v>
      </c>
      <c r="B11" s="10" t="s">
        <v>722</v>
      </c>
      <c r="C11" s="11" t="s">
        <v>731</v>
      </c>
      <c r="D11" s="12" t="s">
        <v>110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2">
      <c r="A12" s="9">
        <v>10</v>
      </c>
      <c r="B12" s="10" t="s">
        <v>722</v>
      </c>
      <c r="C12" s="11" t="s">
        <v>732</v>
      </c>
      <c r="D12" s="13" t="s">
        <v>120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ht="28" x14ac:dyDescent="0.2">
      <c r="A13" s="9">
        <v>11</v>
      </c>
      <c r="B13" s="10" t="s">
        <v>733</v>
      </c>
      <c r="C13" s="11" t="s">
        <v>734</v>
      </c>
      <c r="D13" s="12" t="s">
        <v>110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ht="28" x14ac:dyDescent="0.2">
      <c r="A14" s="9">
        <v>12</v>
      </c>
      <c r="B14" s="10" t="s">
        <v>733</v>
      </c>
      <c r="C14" s="11" t="s">
        <v>735</v>
      </c>
      <c r="D14" s="12" t="s">
        <v>110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x14ac:dyDescent="0.2">
      <c r="A15" s="9">
        <v>13</v>
      </c>
      <c r="B15" s="10" t="s">
        <v>733</v>
      </c>
      <c r="C15" s="11" t="s">
        <v>736</v>
      </c>
      <c r="D15" s="12" t="s">
        <v>110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ht="28" x14ac:dyDescent="0.2">
      <c r="A16" s="9">
        <v>14</v>
      </c>
      <c r="B16" s="10" t="s">
        <v>733</v>
      </c>
      <c r="C16" s="11" t="s">
        <v>737</v>
      </c>
      <c r="D16" s="12" t="s">
        <v>110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x14ac:dyDescent="0.2">
      <c r="A17" s="9">
        <v>15</v>
      </c>
      <c r="B17" s="10" t="s">
        <v>733</v>
      </c>
      <c r="C17" s="11" t="s">
        <v>738</v>
      </c>
      <c r="D17" s="13" t="s">
        <v>120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x14ac:dyDescent="0.2">
      <c r="A18" s="9">
        <v>16</v>
      </c>
      <c r="B18" s="10" t="s">
        <v>733</v>
      </c>
      <c r="C18" s="11" t="s">
        <v>739</v>
      </c>
      <c r="D18" s="13" t="s">
        <v>120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ht="28" x14ac:dyDescent="0.2">
      <c r="A19" s="9">
        <v>17</v>
      </c>
      <c r="B19" s="10" t="s">
        <v>733</v>
      </c>
      <c r="C19" s="11" t="s">
        <v>740</v>
      </c>
      <c r="D19" s="13" t="s">
        <v>120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x14ac:dyDescent="0.2">
      <c r="A20" s="9">
        <v>18</v>
      </c>
      <c r="B20" s="10" t="s">
        <v>733</v>
      </c>
      <c r="C20" s="11" t="s">
        <v>741</v>
      </c>
      <c r="D20" s="13" t="s">
        <v>120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ht="28" x14ac:dyDescent="0.2">
      <c r="A21" s="9">
        <v>19</v>
      </c>
      <c r="B21" s="10" t="s">
        <v>742</v>
      </c>
      <c r="C21" s="11" t="s">
        <v>743</v>
      </c>
      <c r="D21" s="12" t="s">
        <v>110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ht="28" x14ac:dyDescent="0.2">
      <c r="A22" s="9">
        <v>20</v>
      </c>
      <c r="B22" s="10" t="s">
        <v>742</v>
      </c>
      <c r="C22" s="11" t="s">
        <v>744</v>
      </c>
      <c r="D22" s="12" t="s">
        <v>110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ht="28" x14ac:dyDescent="0.2">
      <c r="A23" s="9">
        <v>21</v>
      </c>
      <c r="B23" s="10" t="s">
        <v>742</v>
      </c>
      <c r="C23" s="11" t="s">
        <v>745</v>
      </c>
      <c r="D23" s="12" t="s">
        <v>110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ht="28" x14ac:dyDescent="0.2">
      <c r="A24" s="9">
        <v>22</v>
      </c>
      <c r="B24" s="10" t="s">
        <v>742</v>
      </c>
      <c r="C24" s="11" t="s">
        <v>746</v>
      </c>
      <c r="D24" s="12" t="s">
        <v>110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ht="28" x14ac:dyDescent="0.2">
      <c r="A25" s="9">
        <v>23</v>
      </c>
      <c r="B25" s="10" t="s">
        <v>742</v>
      </c>
      <c r="C25" s="11" t="s">
        <v>747</v>
      </c>
      <c r="D25" s="13" t="s">
        <v>120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ht="28" x14ac:dyDescent="0.2">
      <c r="A26" s="9">
        <v>24</v>
      </c>
      <c r="B26" s="10" t="s">
        <v>742</v>
      </c>
      <c r="C26" s="11" t="s">
        <v>748</v>
      </c>
      <c r="D26" s="13" t="s">
        <v>120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x14ac:dyDescent="0.2">
      <c r="A27" s="9">
        <v>25</v>
      </c>
      <c r="B27" s="10" t="s">
        <v>749</v>
      </c>
      <c r="C27" s="11" t="s">
        <v>750</v>
      </c>
      <c r="D27" s="12" t="s">
        <v>110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x14ac:dyDescent="0.2">
      <c r="A28" s="9">
        <v>26</v>
      </c>
      <c r="B28" s="10" t="s">
        <v>749</v>
      </c>
      <c r="C28" s="11" t="s">
        <v>751</v>
      </c>
      <c r="D28" s="12" t="s">
        <v>110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x14ac:dyDescent="0.2">
      <c r="A29" s="9">
        <v>27</v>
      </c>
      <c r="B29" s="10" t="s">
        <v>749</v>
      </c>
      <c r="C29" s="11" t="s">
        <v>752</v>
      </c>
      <c r="D29" s="13" t="s">
        <v>120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x14ac:dyDescent="0.2">
      <c r="A30" s="9">
        <v>28</v>
      </c>
      <c r="B30" s="10" t="s">
        <v>749</v>
      </c>
      <c r="C30" s="11" t="s">
        <v>753</v>
      </c>
      <c r="D30" s="12" t="s">
        <v>110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 x14ac:dyDescent="0.2">
      <c r="A31" s="9">
        <v>29</v>
      </c>
      <c r="B31" s="10" t="s">
        <v>749</v>
      </c>
      <c r="C31" s="11" t="s">
        <v>754</v>
      </c>
      <c r="D31" s="12" t="s">
        <v>110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ht="28" x14ac:dyDescent="0.2">
      <c r="A32" s="9">
        <v>30</v>
      </c>
      <c r="B32" s="10" t="s">
        <v>749</v>
      </c>
      <c r="C32" s="11" t="s">
        <v>755</v>
      </c>
      <c r="D32" s="12" t="s">
        <v>110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1:18" x14ac:dyDescent="0.2">
      <c r="A33" s="9">
        <v>31</v>
      </c>
      <c r="B33" s="10" t="s">
        <v>749</v>
      </c>
      <c r="C33" s="11" t="s">
        <v>756</v>
      </c>
      <c r="D33" s="13" t="s">
        <v>120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 ht="28" x14ac:dyDescent="0.2">
      <c r="A34" s="9">
        <v>32</v>
      </c>
      <c r="B34" s="10" t="s">
        <v>749</v>
      </c>
      <c r="C34" s="11" t="s">
        <v>757</v>
      </c>
      <c r="D34" s="12" t="s">
        <v>110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1:18" ht="28" x14ac:dyDescent="0.2">
      <c r="A35" s="9">
        <v>33</v>
      </c>
      <c r="B35" s="10" t="s">
        <v>758</v>
      </c>
      <c r="C35" s="11" t="s">
        <v>759</v>
      </c>
      <c r="D35" s="12" t="s">
        <v>110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1:18" x14ac:dyDescent="0.2">
      <c r="A36" s="9">
        <v>34</v>
      </c>
      <c r="B36" s="10" t="s">
        <v>758</v>
      </c>
      <c r="C36" s="11" t="s">
        <v>760</v>
      </c>
      <c r="D36" s="13" t="s">
        <v>120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 ht="28" x14ac:dyDescent="0.2">
      <c r="A37" s="9">
        <v>35</v>
      </c>
      <c r="B37" s="10" t="s">
        <v>758</v>
      </c>
      <c r="C37" s="11" t="s">
        <v>761</v>
      </c>
      <c r="D37" s="13" t="s">
        <v>120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 ht="28" x14ac:dyDescent="0.2">
      <c r="A38" s="9">
        <v>36</v>
      </c>
      <c r="B38" s="10" t="s">
        <v>758</v>
      </c>
      <c r="C38" s="11" t="s">
        <v>762</v>
      </c>
      <c r="D38" s="13" t="s">
        <v>120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1:18" ht="28" x14ac:dyDescent="0.2">
      <c r="A39" s="9">
        <v>37</v>
      </c>
      <c r="B39" s="10" t="s">
        <v>758</v>
      </c>
      <c r="C39" s="11" t="s">
        <v>763</v>
      </c>
      <c r="D39" s="12" t="s">
        <v>110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 x14ac:dyDescent="0.2">
      <c r="A40" s="9">
        <v>38</v>
      </c>
      <c r="B40" s="10" t="s">
        <v>758</v>
      </c>
      <c r="C40" s="11" t="s">
        <v>764</v>
      </c>
      <c r="D40" s="13" t="s">
        <v>120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 x14ac:dyDescent="0.2">
      <c r="A41" s="9">
        <v>39</v>
      </c>
      <c r="B41" s="10" t="s">
        <v>765</v>
      </c>
      <c r="C41" s="11" t="s">
        <v>766</v>
      </c>
      <c r="D41" s="12" t="s">
        <v>110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</row>
    <row r="42" spans="1:18" x14ac:dyDescent="0.2">
      <c r="A42" s="9">
        <v>40</v>
      </c>
      <c r="B42" s="10" t="s">
        <v>765</v>
      </c>
      <c r="C42" s="11" t="s">
        <v>767</v>
      </c>
      <c r="D42" s="12" t="s">
        <v>110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</row>
    <row r="43" spans="1:18" x14ac:dyDescent="0.2">
      <c r="A43" s="9">
        <v>41</v>
      </c>
      <c r="B43" s="10" t="s">
        <v>765</v>
      </c>
      <c r="C43" s="11" t="s">
        <v>768</v>
      </c>
      <c r="D43" s="12" t="s">
        <v>110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</row>
    <row r="44" spans="1:18" x14ac:dyDescent="0.2">
      <c r="A44" s="9">
        <v>42</v>
      </c>
      <c r="B44" s="10" t="s">
        <v>765</v>
      </c>
      <c r="C44" s="11" t="s">
        <v>769</v>
      </c>
      <c r="D44" s="12" t="s">
        <v>110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1:18" x14ac:dyDescent="0.2">
      <c r="A45" s="9">
        <v>43</v>
      </c>
      <c r="B45" s="10" t="s">
        <v>765</v>
      </c>
      <c r="C45" s="11" t="s">
        <v>770</v>
      </c>
      <c r="D45" s="13" t="s">
        <v>120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</row>
    <row r="46" spans="1:18" ht="28" x14ac:dyDescent="0.2">
      <c r="A46" s="9">
        <v>44</v>
      </c>
      <c r="B46" s="10" t="s">
        <v>771</v>
      </c>
      <c r="C46" s="11" t="s">
        <v>772</v>
      </c>
      <c r="D46" s="12" t="s">
        <v>110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</row>
    <row r="47" spans="1:18" ht="28" x14ac:dyDescent="0.2">
      <c r="A47" s="9">
        <v>45</v>
      </c>
      <c r="B47" s="10" t="s">
        <v>771</v>
      </c>
      <c r="C47" s="11" t="s">
        <v>773</v>
      </c>
      <c r="D47" s="12" t="s">
        <v>110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</row>
    <row r="48" spans="1:18" ht="28" x14ac:dyDescent="0.2">
      <c r="A48" s="9">
        <v>46</v>
      </c>
      <c r="B48" s="10" t="s">
        <v>771</v>
      </c>
      <c r="C48" s="11" t="s">
        <v>774</v>
      </c>
      <c r="D48" s="12" t="s">
        <v>110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</row>
    <row r="49" spans="1:18" ht="28" x14ac:dyDescent="0.2">
      <c r="A49" s="9">
        <v>47</v>
      </c>
      <c r="B49" s="10" t="s">
        <v>771</v>
      </c>
      <c r="C49" s="11" t="s">
        <v>775</v>
      </c>
      <c r="D49" s="13" t="s">
        <v>120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</row>
    <row r="50" spans="1:18" ht="28" x14ac:dyDescent="0.2">
      <c r="A50" s="9">
        <v>48</v>
      </c>
      <c r="B50" s="10" t="s">
        <v>771</v>
      </c>
      <c r="C50" s="11" t="s">
        <v>776</v>
      </c>
      <c r="D50" s="12" t="s">
        <v>110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</row>
  </sheetData>
  <autoFilter ref="A2:R50" xr:uid="{00000000-0009-0000-0000-000009000000}"/>
  <mergeCells count="1">
    <mergeCell ref="A1:R1"/>
  </mergeCells>
  <conditionalFormatting sqref="K3:K50">
    <cfRule type="cellIs" dxfId="38" priority="6" operator="equal">
      <formula>"Evet"</formula>
    </cfRule>
  </conditionalFormatting>
  <conditionalFormatting sqref="R3:R50">
    <cfRule type="cellIs" dxfId="37" priority="2" operator="equal">
      <formula>"Dolduruldu"</formula>
    </cfRule>
    <cfRule type="cellIs" dxfId="36" priority="3" operator="equal">
      <formula>"Kısmen Dolduruldu"</formula>
    </cfRule>
    <cfRule type="cellIs" dxfId="35" priority="4" operator="equal">
      <formula>"Bilinmiyor"</formula>
    </cfRule>
    <cfRule type="cellIs" dxfId="34" priority="5" operator="equal">
      <formula>"Uygulanamaz"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00000000-0002-0000-0900-000000000000}">
          <x14:formula1>
            <xm:f>Listeler!$A$2:$A$18</xm:f>
          </x14:formula1>
          <x14:formula2>
            <xm:f>0</xm:f>
          </x14:formula2>
          <xm:sqref>G3:G60</xm:sqref>
        </x14:dataValidation>
        <x14:dataValidation type="list" allowBlank="1" showErrorMessage="1" xr:uid="{00000000-0002-0000-0900-000001000000}">
          <x14:formula1>
            <xm:f>Listeler!$B$2:$B$9</xm:f>
          </x14:formula1>
          <x14:formula2>
            <xm:f>0</xm:f>
          </x14:formula2>
          <xm:sqref>H3:H60</xm:sqref>
        </x14:dataValidation>
        <x14:dataValidation type="list" allowBlank="1" showErrorMessage="1" xr:uid="{00000000-0002-0000-0900-000002000000}">
          <x14:formula1>
            <xm:f>Listeler!$C$2:$C$5</xm:f>
          </x14:formula1>
          <x14:formula2>
            <xm:f>0</xm:f>
          </x14:formula2>
          <xm:sqref>K3:K60</xm:sqref>
        </x14:dataValidation>
        <x14:dataValidation type="list" allowBlank="1" showErrorMessage="1" xr:uid="{00000000-0002-0000-0900-000003000000}">
          <x14:formula1>
            <xm:f>Listeler!$D$2:$D$12</xm:f>
          </x14:formula1>
          <x14:formula2>
            <xm:f>0</xm:f>
          </x14:formula2>
          <xm:sqref>L3:L60</xm:sqref>
        </x14:dataValidation>
        <x14:dataValidation type="list" allowBlank="1" showErrorMessage="1" xr:uid="{00000000-0002-0000-0900-000004000000}">
          <x14:formula1>
            <xm:f>Listeler!$F$2:$F$5</xm:f>
          </x14:formula1>
          <x14:formula2>
            <xm:f>0</xm:f>
          </x14:formula2>
          <xm:sqref>N3:N60</xm:sqref>
        </x14:dataValidation>
        <x14:dataValidation type="list" allowBlank="1" showErrorMessage="1" xr:uid="{00000000-0002-0000-0900-000005000000}">
          <x14:formula1>
            <xm:f>Listeler!$G$2:$G$5</xm:f>
          </x14:formula1>
          <x14:formula2>
            <xm:f>0</xm:f>
          </x14:formula2>
          <xm:sqref>O3:O60</xm:sqref>
        </x14:dataValidation>
        <x14:dataValidation type="list" allowBlank="1" showErrorMessage="1" xr:uid="{00000000-0002-0000-0900-000006000000}">
          <x14:formula1>
            <xm:f>Listeler!$E$2:$E$5</xm:f>
          </x14:formula1>
          <x14:formula2>
            <xm:f>0</xm:f>
          </x14:formula2>
          <xm:sqref>R3:R60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F8F00"/>
  </sheetPr>
  <dimension ref="A1:R42"/>
  <sheetViews>
    <sheetView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sqref="A1:R1"/>
    </sheetView>
  </sheetViews>
  <sheetFormatPr baseColWidth="10" defaultColWidth="8.6640625" defaultRowHeight="15" x14ac:dyDescent="0.2"/>
  <cols>
    <col min="1" max="1" width="5" customWidth="1"/>
    <col min="2" max="2" width="16" customWidth="1"/>
    <col min="3" max="3" width="52" customWidth="1"/>
    <col min="4" max="4" width="10" customWidth="1"/>
    <col min="5" max="5" width="36" customWidth="1"/>
    <col min="6" max="6" width="26" customWidth="1"/>
    <col min="7" max="7" width="22" customWidth="1"/>
    <col min="8" max="10" width="20" customWidth="1"/>
    <col min="11" max="11" width="14" customWidth="1"/>
    <col min="12" max="12" width="30" customWidth="1"/>
    <col min="13" max="13" width="20" customWidth="1"/>
    <col min="14" max="15" width="12" customWidth="1"/>
    <col min="16" max="16" width="26" customWidth="1"/>
    <col min="17" max="17" width="14" customWidth="1"/>
    <col min="18" max="18" width="15" customWidth="1"/>
  </cols>
  <sheetData>
    <row r="1" spans="1:18" ht="24" customHeight="1" x14ac:dyDescent="0.2">
      <c r="A1" s="24" t="s">
        <v>777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30" customHeight="1" x14ac:dyDescent="0.2">
      <c r="A2" s="3" t="s">
        <v>90</v>
      </c>
      <c r="B2" s="3" t="s">
        <v>91</v>
      </c>
      <c r="C2" s="3" t="s">
        <v>92</v>
      </c>
      <c r="D2" s="3" t="s">
        <v>93</v>
      </c>
      <c r="E2" s="3" t="s">
        <v>94</v>
      </c>
      <c r="F2" s="3" t="s">
        <v>95</v>
      </c>
      <c r="G2" s="3" t="s">
        <v>96</v>
      </c>
      <c r="H2" s="3" t="s">
        <v>97</v>
      </c>
      <c r="I2" s="3" t="s">
        <v>98</v>
      </c>
      <c r="J2" s="3" t="s">
        <v>99</v>
      </c>
      <c r="K2" s="3" t="s">
        <v>100</v>
      </c>
      <c r="L2" s="3" t="s">
        <v>101</v>
      </c>
      <c r="M2" s="3" t="s">
        <v>102</v>
      </c>
      <c r="N2" s="3" t="s">
        <v>103</v>
      </c>
      <c r="O2" s="3" t="s">
        <v>104</v>
      </c>
      <c r="P2" s="3" t="s">
        <v>105</v>
      </c>
      <c r="Q2" s="3" t="s">
        <v>106</v>
      </c>
      <c r="R2" s="3" t="s">
        <v>107</v>
      </c>
    </row>
    <row r="3" spans="1:18" ht="28" x14ac:dyDescent="0.2">
      <c r="A3" s="9">
        <v>1</v>
      </c>
      <c r="B3" s="10" t="s">
        <v>778</v>
      </c>
      <c r="C3" s="11" t="s">
        <v>779</v>
      </c>
      <c r="D3" s="12" t="s">
        <v>110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28" x14ac:dyDescent="0.2">
      <c r="A4" s="9">
        <v>2</v>
      </c>
      <c r="B4" s="10" t="s">
        <v>778</v>
      </c>
      <c r="C4" s="11" t="s">
        <v>780</v>
      </c>
      <c r="D4" s="12" t="s">
        <v>110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28" x14ac:dyDescent="0.2">
      <c r="A5" s="9">
        <v>3</v>
      </c>
      <c r="B5" s="10" t="s">
        <v>778</v>
      </c>
      <c r="C5" s="11" t="s">
        <v>781</v>
      </c>
      <c r="D5" s="13" t="s">
        <v>120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ht="28" x14ac:dyDescent="0.2">
      <c r="A6" s="9">
        <v>4</v>
      </c>
      <c r="B6" s="10" t="s">
        <v>778</v>
      </c>
      <c r="C6" s="11" t="s">
        <v>782</v>
      </c>
      <c r="D6" s="12" t="s">
        <v>110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ht="28" x14ac:dyDescent="0.2">
      <c r="A7" s="9">
        <v>5</v>
      </c>
      <c r="B7" s="10" t="s">
        <v>778</v>
      </c>
      <c r="C7" s="11" t="s">
        <v>783</v>
      </c>
      <c r="D7" s="12" t="s">
        <v>110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ht="28" x14ac:dyDescent="0.2">
      <c r="A8" s="9">
        <v>6</v>
      </c>
      <c r="B8" s="10" t="s">
        <v>778</v>
      </c>
      <c r="C8" s="11" t="s">
        <v>784</v>
      </c>
      <c r="D8" s="12" t="s">
        <v>110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ht="28" x14ac:dyDescent="0.2">
      <c r="A9" s="9">
        <v>7</v>
      </c>
      <c r="B9" s="10" t="s">
        <v>778</v>
      </c>
      <c r="C9" s="11" t="s">
        <v>785</v>
      </c>
      <c r="D9" s="12" t="s">
        <v>110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ht="28" x14ac:dyDescent="0.2">
      <c r="A10" s="9">
        <v>8</v>
      </c>
      <c r="B10" s="10" t="s">
        <v>778</v>
      </c>
      <c r="C10" s="11" t="s">
        <v>786</v>
      </c>
      <c r="D10" s="13" t="s">
        <v>120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ht="28" x14ac:dyDescent="0.2">
      <c r="A11" s="9">
        <v>9</v>
      </c>
      <c r="B11" s="10" t="s">
        <v>787</v>
      </c>
      <c r="C11" s="11" t="s">
        <v>788</v>
      </c>
      <c r="D11" s="12" t="s">
        <v>110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ht="28" x14ac:dyDescent="0.2">
      <c r="A12" s="9">
        <v>10</v>
      </c>
      <c r="B12" s="10" t="s">
        <v>787</v>
      </c>
      <c r="C12" s="11" t="s">
        <v>789</v>
      </c>
      <c r="D12" s="12" t="s">
        <v>110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ht="28" x14ac:dyDescent="0.2">
      <c r="A13" s="9">
        <v>11</v>
      </c>
      <c r="B13" s="10" t="s">
        <v>787</v>
      </c>
      <c r="C13" s="11" t="s">
        <v>790</v>
      </c>
      <c r="D13" s="12" t="s">
        <v>110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ht="28" x14ac:dyDescent="0.2">
      <c r="A14" s="9">
        <v>12</v>
      </c>
      <c r="B14" s="10" t="s">
        <v>787</v>
      </c>
      <c r="C14" s="11" t="s">
        <v>791</v>
      </c>
      <c r="D14" s="12" t="s">
        <v>110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ht="28" x14ac:dyDescent="0.2">
      <c r="A15" s="9">
        <v>13</v>
      </c>
      <c r="B15" s="10" t="s">
        <v>787</v>
      </c>
      <c r="C15" s="11" t="s">
        <v>792</v>
      </c>
      <c r="D15" s="12" t="s">
        <v>110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ht="28" x14ac:dyDescent="0.2">
      <c r="A16" s="9">
        <v>14</v>
      </c>
      <c r="B16" s="10" t="s">
        <v>787</v>
      </c>
      <c r="C16" s="11" t="s">
        <v>793</v>
      </c>
      <c r="D16" s="12" t="s">
        <v>110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ht="28" x14ac:dyDescent="0.2">
      <c r="A17" s="9">
        <v>15</v>
      </c>
      <c r="B17" s="10" t="s">
        <v>787</v>
      </c>
      <c r="C17" s="11" t="s">
        <v>794</v>
      </c>
      <c r="D17" s="13" t="s">
        <v>120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ht="28" x14ac:dyDescent="0.2">
      <c r="A18" s="9">
        <v>16</v>
      </c>
      <c r="B18" s="10" t="s">
        <v>787</v>
      </c>
      <c r="C18" s="11" t="s">
        <v>795</v>
      </c>
      <c r="D18" s="12" t="s">
        <v>110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ht="28" x14ac:dyDescent="0.2">
      <c r="A19" s="9">
        <v>17</v>
      </c>
      <c r="B19" s="10" t="s">
        <v>787</v>
      </c>
      <c r="C19" s="11" t="s">
        <v>796</v>
      </c>
      <c r="D19" s="12" t="s">
        <v>110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ht="28" x14ac:dyDescent="0.2">
      <c r="A20" s="9">
        <v>18</v>
      </c>
      <c r="B20" s="10" t="s">
        <v>787</v>
      </c>
      <c r="C20" s="11" t="s">
        <v>797</v>
      </c>
      <c r="D20" s="13" t="s">
        <v>120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x14ac:dyDescent="0.2">
      <c r="A21" s="9">
        <v>19</v>
      </c>
      <c r="B21" s="10" t="s">
        <v>798</v>
      </c>
      <c r="C21" s="11" t="s">
        <v>799</v>
      </c>
      <c r="D21" s="12" t="s">
        <v>110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x14ac:dyDescent="0.2">
      <c r="A22" s="9">
        <v>20</v>
      </c>
      <c r="B22" s="10" t="s">
        <v>798</v>
      </c>
      <c r="C22" s="11" t="s">
        <v>800</v>
      </c>
      <c r="D22" s="12" t="s">
        <v>110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ht="28" x14ac:dyDescent="0.2">
      <c r="A23" s="9">
        <v>21</v>
      </c>
      <c r="B23" s="10" t="s">
        <v>798</v>
      </c>
      <c r="C23" s="11" t="s">
        <v>801</v>
      </c>
      <c r="D23" s="12" t="s">
        <v>110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x14ac:dyDescent="0.2">
      <c r="A24" s="9">
        <v>22</v>
      </c>
      <c r="B24" s="10" t="s">
        <v>798</v>
      </c>
      <c r="C24" s="11" t="s">
        <v>802</v>
      </c>
      <c r="D24" s="13" t="s">
        <v>120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x14ac:dyDescent="0.2">
      <c r="A25" s="9">
        <v>23</v>
      </c>
      <c r="B25" s="10" t="s">
        <v>798</v>
      </c>
      <c r="C25" s="11" t="s">
        <v>803</v>
      </c>
      <c r="D25" s="12" t="s">
        <v>110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x14ac:dyDescent="0.2">
      <c r="A26" s="9">
        <v>24</v>
      </c>
      <c r="B26" s="10" t="s">
        <v>798</v>
      </c>
      <c r="C26" s="11" t="s">
        <v>804</v>
      </c>
      <c r="D26" s="12" t="s">
        <v>110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x14ac:dyDescent="0.2">
      <c r="A27" s="9">
        <v>25</v>
      </c>
      <c r="B27" s="10" t="s">
        <v>798</v>
      </c>
      <c r="C27" s="11" t="s">
        <v>805</v>
      </c>
      <c r="D27" s="13" t="s">
        <v>120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ht="28" x14ac:dyDescent="0.2">
      <c r="A28" s="9">
        <v>26</v>
      </c>
      <c r="B28" s="10" t="s">
        <v>798</v>
      </c>
      <c r="C28" s="11" t="s">
        <v>806</v>
      </c>
      <c r="D28" s="12" t="s">
        <v>110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x14ac:dyDescent="0.2">
      <c r="A29" s="9">
        <v>27</v>
      </c>
      <c r="B29" s="10" t="s">
        <v>807</v>
      </c>
      <c r="C29" s="11" t="s">
        <v>808</v>
      </c>
      <c r="D29" s="12" t="s">
        <v>110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x14ac:dyDescent="0.2">
      <c r="A30" s="9">
        <v>28</v>
      </c>
      <c r="B30" s="10" t="s">
        <v>807</v>
      </c>
      <c r="C30" s="11" t="s">
        <v>809</v>
      </c>
      <c r="D30" s="12" t="s">
        <v>110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 x14ac:dyDescent="0.2">
      <c r="A31" s="9">
        <v>29</v>
      </c>
      <c r="B31" s="10" t="s">
        <v>807</v>
      </c>
      <c r="C31" s="11" t="s">
        <v>810</v>
      </c>
      <c r="D31" s="13" t="s">
        <v>120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ht="28" x14ac:dyDescent="0.2">
      <c r="A32" s="9">
        <v>30</v>
      </c>
      <c r="B32" s="10" t="s">
        <v>807</v>
      </c>
      <c r="C32" s="11" t="s">
        <v>811</v>
      </c>
      <c r="D32" s="13" t="s">
        <v>120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1:18" x14ac:dyDescent="0.2">
      <c r="A33" s="9">
        <v>31</v>
      </c>
      <c r="B33" s="10" t="s">
        <v>807</v>
      </c>
      <c r="C33" s="11" t="s">
        <v>812</v>
      </c>
      <c r="D33" s="13" t="s">
        <v>120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 x14ac:dyDescent="0.2">
      <c r="A34" s="9">
        <v>32</v>
      </c>
      <c r="B34" s="10" t="s">
        <v>807</v>
      </c>
      <c r="C34" s="11" t="s">
        <v>813</v>
      </c>
      <c r="D34" s="13" t="s">
        <v>120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1:18" ht="28" x14ac:dyDescent="0.2">
      <c r="A35" s="9">
        <v>33</v>
      </c>
      <c r="B35" s="10" t="s">
        <v>814</v>
      </c>
      <c r="C35" s="11" t="s">
        <v>815</v>
      </c>
      <c r="D35" s="12" t="s">
        <v>110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1:18" ht="28" x14ac:dyDescent="0.2">
      <c r="A36" s="9">
        <v>34</v>
      </c>
      <c r="B36" s="10" t="s">
        <v>814</v>
      </c>
      <c r="C36" s="11" t="s">
        <v>816</v>
      </c>
      <c r="D36" s="12" t="s">
        <v>110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 ht="28" x14ac:dyDescent="0.2">
      <c r="A37" s="9">
        <v>35</v>
      </c>
      <c r="B37" s="10" t="s">
        <v>814</v>
      </c>
      <c r="C37" s="11" t="s">
        <v>817</v>
      </c>
      <c r="D37" s="12" t="s">
        <v>110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 ht="28" x14ac:dyDescent="0.2">
      <c r="A38" s="9">
        <v>36</v>
      </c>
      <c r="B38" s="10" t="s">
        <v>814</v>
      </c>
      <c r="C38" s="11" t="s">
        <v>818</v>
      </c>
      <c r="D38" s="13" t="s">
        <v>120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1:18" ht="28" x14ac:dyDescent="0.2">
      <c r="A39" s="9">
        <v>37</v>
      </c>
      <c r="B39" s="10" t="s">
        <v>814</v>
      </c>
      <c r="C39" s="11" t="s">
        <v>819</v>
      </c>
      <c r="D39" s="13" t="s">
        <v>120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 ht="28" x14ac:dyDescent="0.2">
      <c r="A40" s="9">
        <v>38</v>
      </c>
      <c r="B40" s="10" t="s">
        <v>814</v>
      </c>
      <c r="C40" s="11" t="s">
        <v>820</v>
      </c>
      <c r="D40" s="13" t="s">
        <v>120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 ht="28" x14ac:dyDescent="0.2">
      <c r="A41" s="9">
        <v>39</v>
      </c>
      <c r="B41" s="10" t="s">
        <v>814</v>
      </c>
      <c r="C41" s="11" t="s">
        <v>821</v>
      </c>
      <c r="D41" s="13" t="s">
        <v>120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</row>
    <row r="42" spans="1:18" ht="28" x14ac:dyDescent="0.2">
      <c r="A42" s="9">
        <v>40</v>
      </c>
      <c r="B42" s="10" t="s">
        <v>814</v>
      </c>
      <c r="C42" s="11" t="s">
        <v>822</v>
      </c>
      <c r="D42" s="13" t="s">
        <v>120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</row>
  </sheetData>
  <autoFilter ref="A2:R42" xr:uid="{00000000-0009-0000-0000-00000A000000}"/>
  <mergeCells count="1">
    <mergeCell ref="A1:R1"/>
  </mergeCells>
  <conditionalFormatting sqref="K3:K42">
    <cfRule type="cellIs" dxfId="33" priority="6" operator="equal">
      <formula>"Evet"</formula>
    </cfRule>
  </conditionalFormatting>
  <conditionalFormatting sqref="R3:R42">
    <cfRule type="cellIs" dxfId="32" priority="2" operator="equal">
      <formula>"Dolduruldu"</formula>
    </cfRule>
    <cfRule type="cellIs" dxfId="31" priority="3" operator="equal">
      <formula>"Kısmen Dolduruldu"</formula>
    </cfRule>
    <cfRule type="cellIs" dxfId="30" priority="4" operator="equal">
      <formula>"Bilinmiyor"</formula>
    </cfRule>
    <cfRule type="cellIs" dxfId="29" priority="5" operator="equal">
      <formula>"Uygulanamaz"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00000000-0002-0000-0A00-000000000000}">
          <x14:formula1>
            <xm:f>Listeler!$A$2:$A$18</xm:f>
          </x14:formula1>
          <x14:formula2>
            <xm:f>0</xm:f>
          </x14:formula2>
          <xm:sqref>G3:G52</xm:sqref>
        </x14:dataValidation>
        <x14:dataValidation type="list" allowBlank="1" showErrorMessage="1" xr:uid="{00000000-0002-0000-0A00-000001000000}">
          <x14:formula1>
            <xm:f>Listeler!$B$2:$B$9</xm:f>
          </x14:formula1>
          <x14:formula2>
            <xm:f>0</xm:f>
          </x14:formula2>
          <xm:sqref>H3:H52</xm:sqref>
        </x14:dataValidation>
        <x14:dataValidation type="list" allowBlank="1" showErrorMessage="1" xr:uid="{00000000-0002-0000-0A00-000002000000}">
          <x14:formula1>
            <xm:f>Listeler!$C$2:$C$5</xm:f>
          </x14:formula1>
          <x14:formula2>
            <xm:f>0</xm:f>
          </x14:formula2>
          <xm:sqref>K3:K52</xm:sqref>
        </x14:dataValidation>
        <x14:dataValidation type="list" allowBlank="1" showErrorMessage="1" xr:uid="{00000000-0002-0000-0A00-000003000000}">
          <x14:formula1>
            <xm:f>Listeler!$D$2:$D$12</xm:f>
          </x14:formula1>
          <x14:formula2>
            <xm:f>0</xm:f>
          </x14:formula2>
          <xm:sqref>L3:L52</xm:sqref>
        </x14:dataValidation>
        <x14:dataValidation type="list" allowBlank="1" showErrorMessage="1" xr:uid="{00000000-0002-0000-0A00-000004000000}">
          <x14:formula1>
            <xm:f>Listeler!$F$2:$F$5</xm:f>
          </x14:formula1>
          <x14:formula2>
            <xm:f>0</xm:f>
          </x14:formula2>
          <xm:sqref>N3:N52</xm:sqref>
        </x14:dataValidation>
        <x14:dataValidation type="list" allowBlank="1" showErrorMessage="1" xr:uid="{00000000-0002-0000-0A00-000005000000}">
          <x14:formula1>
            <xm:f>Listeler!$G$2:$G$5</xm:f>
          </x14:formula1>
          <x14:formula2>
            <xm:f>0</xm:f>
          </x14:formula2>
          <xm:sqref>O3:O52</xm:sqref>
        </x14:dataValidation>
        <x14:dataValidation type="list" allowBlank="1" showErrorMessage="1" xr:uid="{00000000-0002-0000-0A00-000006000000}">
          <x14:formula1>
            <xm:f>Listeler!$E$2:$E$5</xm:f>
          </x14:formula1>
          <x14:formula2>
            <xm:f>0</xm:f>
          </x14:formula2>
          <xm:sqref>R3:R52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30A0"/>
  </sheetPr>
  <dimension ref="A1:R42"/>
  <sheetViews>
    <sheetView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sqref="A1:R1"/>
    </sheetView>
  </sheetViews>
  <sheetFormatPr baseColWidth="10" defaultColWidth="8.6640625" defaultRowHeight="15" x14ac:dyDescent="0.2"/>
  <cols>
    <col min="1" max="1" width="5" customWidth="1"/>
    <col min="2" max="2" width="16" customWidth="1"/>
    <col min="3" max="3" width="52" customWidth="1"/>
    <col min="4" max="4" width="10" customWidth="1"/>
    <col min="5" max="5" width="36" customWidth="1"/>
    <col min="6" max="6" width="26" customWidth="1"/>
    <col min="7" max="7" width="22" customWidth="1"/>
    <col min="8" max="10" width="20" customWidth="1"/>
    <col min="11" max="11" width="14" customWidth="1"/>
    <col min="12" max="12" width="30" customWidth="1"/>
    <col min="13" max="13" width="20" customWidth="1"/>
    <col min="14" max="15" width="12" customWidth="1"/>
    <col min="16" max="16" width="26" customWidth="1"/>
    <col min="17" max="17" width="14" customWidth="1"/>
    <col min="18" max="18" width="15" customWidth="1"/>
  </cols>
  <sheetData>
    <row r="1" spans="1:18" ht="24" customHeight="1" x14ac:dyDescent="0.2">
      <c r="A1" s="24" t="s">
        <v>823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30" customHeight="1" x14ac:dyDescent="0.2">
      <c r="A2" s="3" t="s">
        <v>90</v>
      </c>
      <c r="B2" s="3" t="s">
        <v>91</v>
      </c>
      <c r="C2" s="3" t="s">
        <v>92</v>
      </c>
      <c r="D2" s="3" t="s">
        <v>93</v>
      </c>
      <c r="E2" s="3" t="s">
        <v>94</v>
      </c>
      <c r="F2" s="3" t="s">
        <v>95</v>
      </c>
      <c r="G2" s="3" t="s">
        <v>96</v>
      </c>
      <c r="H2" s="3" t="s">
        <v>97</v>
      </c>
      <c r="I2" s="3" t="s">
        <v>98</v>
      </c>
      <c r="J2" s="3" t="s">
        <v>99</v>
      </c>
      <c r="K2" s="3" t="s">
        <v>100</v>
      </c>
      <c r="L2" s="3" t="s">
        <v>101</v>
      </c>
      <c r="M2" s="3" t="s">
        <v>102</v>
      </c>
      <c r="N2" s="3" t="s">
        <v>103</v>
      </c>
      <c r="O2" s="3" t="s">
        <v>104</v>
      </c>
      <c r="P2" s="3" t="s">
        <v>105</v>
      </c>
      <c r="Q2" s="3" t="s">
        <v>106</v>
      </c>
      <c r="R2" s="3" t="s">
        <v>107</v>
      </c>
    </row>
    <row r="3" spans="1:18" ht="28" x14ac:dyDescent="0.2">
      <c r="A3" s="9">
        <v>1</v>
      </c>
      <c r="B3" s="10" t="s">
        <v>824</v>
      </c>
      <c r="C3" s="11" t="s">
        <v>825</v>
      </c>
      <c r="D3" s="12" t="s">
        <v>110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28" x14ac:dyDescent="0.2">
      <c r="A4" s="9">
        <v>2</v>
      </c>
      <c r="B4" s="10" t="s">
        <v>824</v>
      </c>
      <c r="C4" s="11" t="s">
        <v>826</v>
      </c>
      <c r="D4" s="12" t="s">
        <v>110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28" x14ac:dyDescent="0.2">
      <c r="A5" s="9">
        <v>3</v>
      </c>
      <c r="B5" s="10" t="s">
        <v>824</v>
      </c>
      <c r="C5" s="11" t="s">
        <v>827</v>
      </c>
      <c r="D5" s="12" t="s">
        <v>110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ht="28" x14ac:dyDescent="0.2">
      <c r="A6" s="9">
        <v>4</v>
      </c>
      <c r="B6" s="10" t="s">
        <v>824</v>
      </c>
      <c r="C6" s="11" t="s">
        <v>828</v>
      </c>
      <c r="D6" s="12" t="s">
        <v>110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ht="28" x14ac:dyDescent="0.2">
      <c r="A7" s="9">
        <v>5</v>
      </c>
      <c r="B7" s="10" t="s">
        <v>824</v>
      </c>
      <c r="C7" s="11" t="s">
        <v>829</v>
      </c>
      <c r="D7" s="12" t="s">
        <v>110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ht="28" x14ac:dyDescent="0.2">
      <c r="A8" s="9">
        <v>6</v>
      </c>
      <c r="B8" s="10" t="s">
        <v>824</v>
      </c>
      <c r="C8" s="11" t="s">
        <v>830</v>
      </c>
      <c r="D8" s="12" t="s">
        <v>110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ht="28" x14ac:dyDescent="0.2">
      <c r="A9" s="9">
        <v>7</v>
      </c>
      <c r="B9" s="10" t="s">
        <v>824</v>
      </c>
      <c r="C9" s="11" t="s">
        <v>831</v>
      </c>
      <c r="D9" s="12" t="s">
        <v>110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ht="28" x14ac:dyDescent="0.2">
      <c r="A10" s="9">
        <v>8</v>
      </c>
      <c r="B10" s="10" t="s">
        <v>824</v>
      </c>
      <c r="C10" s="11" t="s">
        <v>832</v>
      </c>
      <c r="D10" s="12" t="s">
        <v>110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ht="28" x14ac:dyDescent="0.2">
      <c r="A11" s="9">
        <v>9</v>
      </c>
      <c r="B11" s="10" t="s">
        <v>824</v>
      </c>
      <c r="C11" s="11" t="s">
        <v>833</v>
      </c>
      <c r="D11" s="12" t="s">
        <v>110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ht="28" x14ac:dyDescent="0.2">
      <c r="A12" s="9">
        <v>10</v>
      </c>
      <c r="B12" s="10" t="s">
        <v>824</v>
      </c>
      <c r="C12" s="11" t="s">
        <v>834</v>
      </c>
      <c r="D12" s="13" t="s">
        <v>120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ht="28" x14ac:dyDescent="0.2">
      <c r="A13" s="9">
        <v>11</v>
      </c>
      <c r="B13" s="10" t="s">
        <v>835</v>
      </c>
      <c r="C13" s="11" t="s">
        <v>836</v>
      </c>
      <c r="D13" s="12" t="s">
        <v>110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x14ac:dyDescent="0.2">
      <c r="A14" s="9">
        <v>12</v>
      </c>
      <c r="B14" s="10" t="s">
        <v>835</v>
      </c>
      <c r="C14" s="11" t="s">
        <v>837</v>
      </c>
      <c r="D14" s="12" t="s">
        <v>110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ht="28" x14ac:dyDescent="0.2">
      <c r="A15" s="9">
        <v>13</v>
      </c>
      <c r="B15" s="10" t="s">
        <v>835</v>
      </c>
      <c r="C15" s="11" t="s">
        <v>838</v>
      </c>
      <c r="D15" s="12" t="s">
        <v>110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ht="28" x14ac:dyDescent="0.2">
      <c r="A16" s="9">
        <v>14</v>
      </c>
      <c r="B16" s="10" t="s">
        <v>835</v>
      </c>
      <c r="C16" s="11" t="s">
        <v>839</v>
      </c>
      <c r="D16" s="13" t="s">
        <v>120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ht="28" x14ac:dyDescent="0.2">
      <c r="A17" s="9">
        <v>15</v>
      </c>
      <c r="B17" s="10" t="s">
        <v>835</v>
      </c>
      <c r="C17" s="11" t="s">
        <v>840</v>
      </c>
      <c r="D17" s="13" t="s">
        <v>120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ht="28" x14ac:dyDescent="0.2">
      <c r="A18" s="9">
        <v>16</v>
      </c>
      <c r="B18" s="10" t="s">
        <v>835</v>
      </c>
      <c r="C18" s="11" t="s">
        <v>841</v>
      </c>
      <c r="D18" s="12" t="s">
        <v>110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x14ac:dyDescent="0.2">
      <c r="A19" s="9">
        <v>17</v>
      </c>
      <c r="B19" s="10" t="s">
        <v>835</v>
      </c>
      <c r="C19" s="11" t="s">
        <v>842</v>
      </c>
      <c r="D19" s="12" t="s">
        <v>110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ht="28" x14ac:dyDescent="0.2">
      <c r="A20" s="9">
        <v>18</v>
      </c>
      <c r="B20" s="10" t="s">
        <v>835</v>
      </c>
      <c r="C20" s="11" t="s">
        <v>843</v>
      </c>
      <c r="D20" s="13" t="s">
        <v>120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ht="28" x14ac:dyDescent="0.2">
      <c r="A21" s="9">
        <v>19</v>
      </c>
      <c r="B21" s="10" t="s">
        <v>844</v>
      </c>
      <c r="C21" s="11" t="s">
        <v>845</v>
      </c>
      <c r="D21" s="12" t="s">
        <v>110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ht="28" x14ac:dyDescent="0.2">
      <c r="A22" s="9">
        <v>20</v>
      </c>
      <c r="B22" s="10" t="s">
        <v>844</v>
      </c>
      <c r="C22" s="11" t="s">
        <v>846</v>
      </c>
      <c r="D22" s="12" t="s">
        <v>110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ht="28" x14ac:dyDescent="0.2">
      <c r="A23" s="9">
        <v>21</v>
      </c>
      <c r="B23" s="10" t="s">
        <v>844</v>
      </c>
      <c r="C23" s="11" t="s">
        <v>847</v>
      </c>
      <c r="D23" s="12" t="s">
        <v>110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ht="28" x14ac:dyDescent="0.2">
      <c r="A24" s="9">
        <v>22</v>
      </c>
      <c r="B24" s="10" t="s">
        <v>844</v>
      </c>
      <c r="C24" s="11" t="s">
        <v>848</v>
      </c>
      <c r="D24" s="13" t="s">
        <v>120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ht="28" x14ac:dyDescent="0.2">
      <c r="A25" s="9">
        <v>23</v>
      </c>
      <c r="B25" s="10" t="s">
        <v>844</v>
      </c>
      <c r="C25" s="11" t="s">
        <v>849</v>
      </c>
      <c r="D25" s="12" t="s">
        <v>110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ht="28" x14ac:dyDescent="0.2">
      <c r="A26" s="9">
        <v>24</v>
      </c>
      <c r="B26" s="10" t="s">
        <v>844</v>
      </c>
      <c r="C26" s="11" t="s">
        <v>850</v>
      </c>
      <c r="D26" s="12" t="s">
        <v>110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ht="28" x14ac:dyDescent="0.2">
      <c r="A27" s="9">
        <v>25</v>
      </c>
      <c r="B27" s="10" t="s">
        <v>844</v>
      </c>
      <c r="C27" s="11" t="s">
        <v>851</v>
      </c>
      <c r="D27" s="12" t="s">
        <v>110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ht="28" x14ac:dyDescent="0.2">
      <c r="A28" s="9">
        <v>26</v>
      </c>
      <c r="B28" s="10" t="s">
        <v>844</v>
      </c>
      <c r="C28" s="11" t="s">
        <v>852</v>
      </c>
      <c r="D28" s="13" t="s">
        <v>120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ht="28" x14ac:dyDescent="0.2">
      <c r="A29" s="9">
        <v>27</v>
      </c>
      <c r="B29" s="10" t="s">
        <v>853</v>
      </c>
      <c r="C29" s="11" t="s">
        <v>854</v>
      </c>
      <c r="D29" s="12" t="s">
        <v>110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ht="28" x14ac:dyDescent="0.2">
      <c r="A30" s="9">
        <v>28</v>
      </c>
      <c r="B30" s="10" t="s">
        <v>853</v>
      </c>
      <c r="C30" s="11" t="s">
        <v>855</v>
      </c>
      <c r="D30" s="12" t="s">
        <v>110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 ht="28" x14ac:dyDescent="0.2">
      <c r="A31" s="9">
        <v>29</v>
      </c>
      <c r="B31" s="10" t="s">
        <v>853</v>
      </c>
      <c r="C31" s="11" t="s">
        <v>856</v>
      </c>
      <c r="D31" s="13" t="s">
        <v>120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ht="28" x14ac:dyDescent="0.2">
      <c r="A32" s="9">
        <v>30</v>
      </c>
      <c r="B32" s="10" t="s">
        <v>853</v>
      </c>
      <c r="C32" s="11" t="s">
        <v>857</v>
      </c>
      <c r="D32" s="13" t="s">
        <v>120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1:18" ht="28" x14ac:dyDescent="0.2">
      <c r="A33" s="9">
        <v>31</v>
      </c>
      <c r="B33" s="10" t="s">
        <v>853</v>
      </c>
      <c r="C33" s="11" t="s">
        <v>858</v>
      </c>
      <c r="D33" s="13" t="s">
        <v>120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 ht="28" x14ac:dyDescent="0.2">
      <c r="A34" s="9">
        <v>32</v>
      </c>
      <c r="B34" s="10" t="s">
        <v>859</v>
      </c>
      <c r="C34" s="11" t="s">
        <v>860</v>
      </c>
      <c r="D34" s="12" t="s">
        <v>110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1:18" ht="28" x14ac:dyDescent="0.2">
      <c r="A35" s="9">
        <v>33</v>
      </c>
      <c r="B35" s="10" t="s">
        <v>859</v>
      </c>
      <c r="C35" s="11" t="s">
        <v>861</v>
      </c>
      <c r="D35" s="12" t="s">
        <v>110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1:18" x14ac:dyDescent="0.2">
      <c r="A36" s="9">
        <v>34</v>
      </c>
      <c r="B36" s="10" t="s">
        <v>859</v>
      </c>
      <c r="C36" s="11" t="s">
        <v>862</v>
      </c>
      <c r="D36" s="12" t="s">
        <v>110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 ht="28" x14ac:dyDescent="0.2">
      <c r="A37" s="9">
        <v>35</v>
      </c>
      <c r="B37" s="10" t="s">
        <v>859</v>
      </c>
      <c r="C37" s="11" t="s">
        <v>863</v>
      </c>
      <c r="D37" s="12" t="s">
        <v>110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 x14ac:dyDescent="0.2">
      <c r="A38" s="9">
        <v>36</v>
      </c>
      <c r="B38" s="10" t="s">
        <v>859</v>
      </c>
      <c r="C38" s="11" t="s">
        <v>864</v>
      </c>
      <c r="D38" s="12" t="s">
        <v>110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1:18" ht="28" x14ac:dyDescent="0.2">
      <c r="A39" s="9">
        <v>37</v>
      </c>
      <c r="B39" s="10" t="s">
        <v>859</v>
      </c>
      <c r="C39" s="11" t="s">
        <v>865</v>
      </c>
      <c r="D39" s="12" t="s">
        <v>110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 x14ac:dyDescent="0.2">
      <c r="A40" s="9">
        <v>38</v>
      </c>
      <c r="B40" s="10" t="s">
        <v>859</v>
      </c>
      <c r="C40" s="11" t="s">
        <v>866</v>
      </c>
      <c r="D40" s="13" t="s">
        <v>120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 ht="28" x14ac:dyDescent="0.2">
      <c r="A41" s="9">
        <v>39</v>
      </c>
      <c r="B41" s="10" t="s">
        <v>859</v>
      </c>
      <c r="C41" s="11" t="s">
        <v>867</v>
      </c>
      <c r="D41" s="12" t="s">
        <v>110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</row>
    <row r="42" spans="1:18" ht="28" x14ac:dyDescent="0.2">
      <c r="A42" s="9">
        <v>40</v>
      </c>
      <c r="B42" s="10" t="s">
        <v>859</v>
      </c>
      <c r="C42" s="11" t="s">
        <v>868</v>
      </c>
      <c r="D42" s="13" t="s">
        <v>120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</row>
  </sheetData>
  <autoFilter ref="A2:R42" xr:uid="{00000000-0009-0000-0000-00000B000000}"/>
  <mergeCells count="1">
    <mergeCell ref="A1:R1"/>
  </mergeCells>
  <conditionalFormatting sqref="K3:K42">
    <cfRule type="cellIs" dxfId="28" priority="6" operator="equal">
      <formula>"Evet"</formula>
    </cfRule>
  </conditionalFormatting>
  <conditionalFormatting sqref="R3:R42">
    <cfRule type="cellIs" dxfId="27" priority="2" operator="equal">
      <formula>"Dolduruldu"</formula>
    </cfRule>
    <cfRule type="cellIs" dxfId="26" priority="3" operator="equal">
      <formula>"Kısmen Dolduruldu"</formula>
    </cfRule>
    <cfRule type="cellIs" dxfId="25" priority="4" operator="equal">
      <formula>"Bilinmiyor"</formula>
    </cfRule>
    <cfRule type="cellIs" dxfId="24" priority="5" operator="equal">
      <formula>"Uygulanamaz"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00000000-0002-0000-0B00-000000000000}">
          <x14:formula1>
            <xm:f>Listeler!$A$2:$A$18</xm:f>
          </x14:formula1>
          <x14:formula2>
            <xm:f>0</xm:f>
          </x14:formula2>
          <xm:sqref>G3:G52</xm:sqref>
        </x14:dataValidation>
        <x14:dataValidation type="list" allowBlank="1" showErrorMessage="1" xr:uid="{00000000-0002-0000-0B00-000001000000}">
          <x14:formula1>
            <xm:f>Listeler!$B$2:$B$9</xm:f>
          </x14:formula1>
          <x14:formula2>
            <xm:f>0</xm:f>
          </x14:formula2>
          <xm:sqref>H3:H52</xm:sqref>
        </x14:dataValidation>
        <x14:dataValidation type="list" allowBlank="1" showErrorMessage="1" xr:uid="{00000000-0002-0000-0B00-000002000000}">
          <x14:formula1>
            <xm:f>Listeler!$C$2:$C$5</xm:f>
          </x14:formula1>
          <x14:formula2>
            <xm:f>0</xm:f>
          </x14:formula2>
          <xm:sqref>K3:K52</xm:sqref>
        </x14:dataValidation>
        <x14:dataValidation type="list" allowBlank="1" showErrorMessage="1" xr:uid="{00000000-0002-0000-0B00-000003000000}">
          <x14:formula1>
            <xm:f>Listeler!$D$2:$D$12</xm:f>
          </x14:formula1>
          <x14:formula2>
            <xm:f>0</xm:f>
          </x14:formula2>
          <xm:sqref>L3:L52</xm:sqref>
        </x14:dataValidation>
        <x14:dataValidation type="list" allowBlank="1" showErrorMessage="1" xr:uid="{00000000-0002-0000-0B00-000004000000}">
          <x14:formula1>
            <xm:f>Listeler!$F$2:$F$5</xm:f>
          </x14:formula1>
          <x14:formula2>
            <xm:f>0</xm:f>
          </x14:formula2>
          <xm:sqref>N3:N52</xm:sqref>
        </x14:dataValidation>
        <x14:dataValidation type="list" allowBlank="1" showErrorMessage="1" xr:uid="{00000000-0002-0000-0B00-000005000000}">
          <x14:formula1>
            <xm:f>Listeler!$G$2:$G$5</xm:f>
          </x14:formula1>
          <x14:formula2>
            <xm:f>0</xm:f>
          </x14:formula2>
          <xm:sqref>O3:O52</xm:sqref>
        </x14:dataValidation>
        <x14:dataValidation type="list" allowBlank="1" showErrorMessage="1" xr:uid="{00000000-0002-0000-0B00-000006000000}">
          <x14:formula1>
            <xm:f>Listeler!$E$2:$E$5</xm:f>
          </x14:formula1>
          <x14:formula2>
            <xm:f>0</xm:f>
          </x14:formula2>
          <xm:sqref>R3:R52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</sheetPr>
  <dimension ref="A1:R37"/>
  <sheetViews>
    <sheetView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sqref="A1:R1"/>
    </sheetView>
  </sheetViews>
  <sheetFormatPr baseColWidth="10" defaultColWidth="8.6640625" defaultRowHeight="15" x14ac:dyDescent="0.2"/>
  <cols>
    <col min="1" max="1" width="5" customWidth="1"/>
    <col min="2" max="2" width="16" customWidth="1"/>
    <col min="3" max="3" width="52" customWidth="1"/>
    <col min="4" max="4" width="10" customWidth="1"/>
    <col min="5" max="5" width="36" customWidth="1"/>
    <col min="6" max="6" width="26" customWidth="1"/>
    <col min="7" max="7" width="22" customWidth="1"/>
    <col min="8" max="10" width="20" customWidth="1"/>
    <col min="11" max="11" width="14" customWidth="1"/>
    <col min="12" max="12" width="30" customWidth="1"/>
    <col min="13" max="13" width="20" customWidth="1"/>
    <col min="14" max="15" width="12" customWidth="1"/>
    <col min="16" max="16" width="26" customWidth="1"/>
    <col min="17" max="17" width="14" customWidth="1"/>
    <col min="18" max="18" width="15" customWidth="1"/>
  </cols>
  <sheetData>
    <row r="1" spans="1:18" ht="24" customHeight="1" x14ac:dyDescent="0.2">
      <c r="A1" s="24" t="s">
        <v>869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30" customHeight="1" x14ac:dyDescent="0.2">
      <c r="A2" s="3" t="s">
        <v>90</v>
      </c>
      <c r="B2" s="3" t="s">
        <v>91</v>
      </c>
      <c r="C2" s="3" t="s">
        <v>92</v>
      </c>
      <c r="D2" s="3" t="s">
        <v>93</v>
      </c>
      <c r="E2" s="3" t="s">
        <v>94</v>
      </c>
      <c r="F2" s="3" t="s">
        <v>95</v>
      </c>
      <c r="G2" s="3" t="s">
        <v>96</v>
      </c>
      <c r="H2" s="3" t="s">
        <v>97</v>
      </c>
      <c r="I2" s="3" t="s">
        <v>98</v>
      </c>
      <c r="J2" s="3" t="s">
        <v>99</v>
      </c>
      <c r="K2" s="3" t="s">
        <v>100</v>
      </c>
      <c r="L2" s="3" t="s">
        <v>101</v>
      </c>
      <c r="M2" s="3" t="s">
        <v>102</v>
      </c>
      <c r="N2" s="3" t="s">
        <v>103</v>
      </c>
      <c r="O2" s="3" t="s">
        <v>104</v>
      </c>
      <c r="P2" s="3" t="s">
        <v>105</v>
      </c>
      <c r="Q2" s="3" t="s">
        <v>106</v>
      </c>
      <c r="R2" s="3" t="s">
        <v>107</v>
      </c>
    </row>
    <row r="3" spans="1:18" ht="28" x14ac:dyDescent="0.2">
      <c r="A3" s="9">
        <v>1</v>
      </c>
      <c r="B3" s="10" t="s">
        <v>870</v>
      </c>
      <c r="C3" s="11" t="s">
        <v>871</v>
      </c>
      <c r="D3" s="12" t="s">
        <v>110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x14ac:dyDescent="0.2">
      <c r="A4" s="9">
        <v>2</v>
      </c>
      <c r="B4" s="10" t="s">
        <v>870</v>
      </c>
      <c r="C4" s="11" t="s">
        <v>872</v>
      </c>
      <c r="D4" s="12" t="s">
        <v>110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x14ac:dyDescent="0.2">
      <c r="A5" s="9">
        <v>3</v>
      </c>
      <c r="B5" s="10" t="s">
        <v>870</v>
      </c>
      <c r="C5" s="11" t="s">
        <v>873</v>
      </c>
      <c r="D5" s="12" t="s">
        <v>110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x14ac:dyDescent="0.2">
      <c r="A6" s="9">
        <v>4</v>
      </c>
      <c r="B6" s="10" t="s">
        <v>870</v>
      </c>
      <c r="C6" s="11" t="s">
        <v>874</v>
      </c>
      <c r="D6" s="12" t="s">
        <v>110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x14ac:dyDescent="0.2">
      <c r="A7" s="9">
        <v>5</v>
      </c>
      <c r="B7" s="10" t="s">
        <v>870</v>
      </c>
      <c r="C7" s="11" t="s">
        <v>875</v>
      </c>
      <c r="D7" s="13" t="s">
        <v>120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ht="28" x14ac:dyDescent="0.2">
      <c r="A8" s="9">
        <v>6</v>
      </c>
      <c r="B8" s="10" t="s">
        <v>870</v>
      </c>
      <c r="C8" s="11" t="s">
        <v>876</v>
      </c>
      <c r="D8" s="13" t="s">
        <v>120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">
      <c r="A9" s="9">
        <v>7</v>
      </c>
      <c r="B9" s="10" t="s">
        <v>870</v>
      </c>
      <c r="C9" s="11" t="s">
        <v>877</v>
      </c>
      <c r="D9" s="13" t="s">
        <v>120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ht="28" x14ac:dyDescent="0.2">
      <c r="A10" s="9">
        <v>8</v>
      </c>
      <c r="B10" s="10" t="s">
        <v>870</v>
      </c>
      <c r="C10" s="11" t="s">
        <v>878</v>
      </c>
      <c r="D10" s="12" t="s">
        <v>110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">
      <c r="A11" s="9">
        <v>9</v>
      </c>
      <c r="B11" s="10" t="s">
        <v>879</v>
      </c>
      <c r="C11" s="11" t="s">
        <v>880</v>
      </c>
      <c r="D11" s="12" t="s">
        <v>110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2">
      <c r="A12" s="9">
        <v>10</v>
      </c>
      <c r="B12" s="10" t="s">
        <v>879</v>
      </c>
      <c r="C12" s="11" t="s">
        <v>881</v>
      </c>
      <c r="D12" s="12" t="s">
        <v>110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x14ac:dyDescent="0.2">
      <c r="A13" s="9">
        <v>11</v>
      </c>
      <c r="B13" s="10" t="s">
        <v>879</v>
      </c>
      <c r="C13" s="11" t="s">
        <v>882</v>
      </c>
      <c r="D13" s="12" t="s">
        <v>110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x14ac:dyDescent="0.2">
      <c r="A14" s="9">
        <v>12</v>
      </c>
      <c r="B14" s="10" t="s">
        <v>879</v>
      </c>
      <c r="C14" s="11" t="s">
        <v>883</v>
      </c>
      <c r="D14" s="13" t="s">
        <v>120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ht="28" x14ac:dyDescent="0.2">
      <c r="A15" s="9">
        <v>13</v>
      </c>
      <c r="B15" s="10" t="s">
        <v>879</v>
      </c>
      <c r="C15" s="11" t="s">
        <v>884</v>
      </c>
      <c r="D15" s="13" t="s">
        <v>120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x14ac:dyDescent="0.2">
      <c r="A16" s="9">
        <v>14</v>
      </c>
      <c r="B16" s="10" t="s">
        <v>879</v>
      </c>
      <c r="C16" s="11" t="s">
        <v>885</v>
      </c>
      <c r="D16" s="12" t="s">
        <v>110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ht="28" x14ac:dyDescent="0.2">
      <c r="A17" s="9">
        <v>15</v>
      </c>
      <c r="B17" s="10" t="s">
        <v>886</v>
      </c>
      <c r="C17" s="11" t="s">
        <v>887</v>
      </c>
      <c r="D17" s="12" t="s">
        <v>110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ht="28" x14ac:dyDescent="0.2">
      <c r="A18" s="9">
        <v>16</v>
      </c>
      <c r="B18" s="10" t="s">
        <v>886</v>
      </c>
      <c r="C18" s="11" t="s">
        <v>888</v>
      </c>
      <c r="D18" s="12" t="s">
        <v>110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x14ac:dyDescent="0.2">
      <c r="A19" s="9">
        <v>17</v>
      </c>
      <c r="B19" s="10" t="s">
        <v>886</v>
      </c>
      <c r="C19" s="11" t="s">
        <v>889</v>
      </c>
      <c r="D19" s="12" t="s">
        <v>110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x14ac:dyDescent="0.2">
      <c r="A20" s="9">
        <v>18</v>
      </c>
      <c r="B20" s="10" t="s">
        <v>886</v>
      </c>
      <c r="C20" s="11" t="s">
        <v>890</v>
      </c>
      <c r="D20" s="12" t="s">
        <v>110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ht="28" x14ac:dyDescent="0.2">
      <c r="A21" s="9">
        <v>19</v>
      </c>
      <c r="B21" s="10" t="s">
        <v>886</v>
      </c>
      <c r="C21" s="11" t="s">
        <v>891</v>
      </c>
      <c r="D21" s="13" t="s">
        <v>120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ht="28" x14ac:dyDescent="0.2">
      <c r="A22" s="9">
        <v>20</v>
      </c>
      <c r="B22" s="10" t="s">
        <v>886</v>
      </c>
      <c r="C22" s="11" t="s">
        <v>892</v>
      </c>
      <c r="D22" s="12" t="s">
        <v>110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ht="28" x14ac:dyDescent="0.2">
      <c r="A23" s="9">
        <v>21</v>
      </c>
      <c r="B23" s="10" t="s">
        <v>886</v>
      </c>
      <c r="C23" s="11" t="s">
        <v>893</v>
      </c>
      <c r="D23" s="13" t="s">
        <v>120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ht="28" x14ac:dyDescent="0.2">
      <c r="A24" s="9">
        <v>22</v>
      </c>
      <c r="B24" s="10" t="s">
        <v>886</v>
      </c>
      <c r="C24" s="11" t="s">
        <v>894</v>
      </c>
      <c r="D24" s="12" t="s">
        <v>110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ht="28" x14ac:dyDescent="0.2">
      <c r="A25" s="9">
        <v>23</v>
      </c>
      <c r="B25" s="10" t="s">
        <v>895</v>
      </c>
      <c r="C25" s="11" t="s">
        <v>896</v>
      </c>
      <c r="D25" s="12" t="s">
        <v>110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ht="28" x14ac:dyDescent="0.2">
      <c r="A26" s="9">
        <v>24</v>
      </c>
      <c r="B26" s="10" t="s">
        <v>895</v>
      </c>
      <c r="C26" s="11" t="s">
        <v>897</v>
      </c>
      <c r="D26" s="12" t="s">
        <v>110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ht="28" x14ac:dyDescent="0.2">
      <c r="A27" s="9">
        <v>25</v>
      </c>
      <c r="B27" s="10" t="s">
        <v>895</v>
      </c>
      <c r="C27" s="11" t="s">
        <v>898</v>
      </c>
      <c r="D27" s="12" t="s">
        <v>110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ht="28" x14ac:dyDescent="0.2">
      <c r="A28" s="9">
        <v>26</v>
      </c>
      <c r="B28" s="10" t="s">
        <v>895</v>
      </c>
      <c r="C28" s="11" t="s">
        <v>899</v>
      </c>
      <c r="D28" s="12" t="s">
        <v>110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ht="28" x14ac:dyDescent="0.2">
      <c r="A29" s="9">
        <v>27</v>
      </c>
      <c r="B29" s="10" t="s">
        <v>895</v>
      </c>
      <c r="C29" s="11" t="s">
        <v>900</v>
      </c>
      <c r="D29" s="13" t="s">
        <v>120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ht="28" x14ac:dyDescent="0.2">
      <c r="A30" s="9">
        <v>28</v>
      </c>
      <c r="B30" s="10" t="s">
        <v>895</v>
      </c>
      <c r="C30" s="11" t="s">
        <v>901</v>
      </c>
      <c r="D30" s="13" t="s">
        <v>120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 ht="28" x14ac:dyDescent="0.2">
      <c r="A31" s="9">
        <v>29</v>
      </c>
      <c r="B31" s="10" t="s">
        <v>895</v>
      </c>
      <c r="C31" s="11" t="s">
        <v>902</v>
      </c>
      <c r="D31" s="13" t="s">
        <v>120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ht="28" x14ac:dyDescent="0.2">
      <c r="A32" s="9">
        <v>30</v>
      </c>
      <c r="B32" s="10" t="s">
        <v>903</v>
      </c>
      <c r="C32" s="11" t="s">
        <v>904</v>
      </c>
      <c r="D32" s="12" t="s">
        <v>110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1:18" ht="28" x14ac:dyDescent="0.2">
      <c r="A33" s="9">
        <v>31</v>
      </c>
      <c r="B33" s="10" t="s">
        <v>903</v>
      </c>
      <c r="C33" s="11" t="s">
        <v>905</v>
      </c>
      <c r="D33" s="13" t="s">
        <v>120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 ht="28" x14ac:dyDescent="0.2">
      <c r="A34" s="9">
        <v>32</v>
      </c>
      <c r="B34" s="10" t="s">
        <v>903</v>
      </c>
      <c r="C34" s="11" t="s">
        <v>906</v>
      </c>
      <c r="D34" s="13" t="s">
        <v>120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1:18" ht="28" x14ac:dyDescent="0.2">
      <c r="A35" s="9">
        <v>33</v>
      </c>
      <c r="B35" s="10" t="s">
        <v>903</v>
      </c>
      <c r="C35" s="11" t="s">
        <v>907</v>
      </c>
      <c r="D35" s="13" t="s">
        <v>120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1:18" ht="28" x14ac:dyDescent="0.2">
      <c r="A36" s="9">
        <v>34</v>
      </c>
      <c r="B36" s="10" t="s">
        <v>903</v>
      </c>
      <c r="C36" s="11" t="s">
        <v>908</v>
      </c>
      <c r="D36" s="12" t="s">
        <v>110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 ht="28" x14ac:dyDescent="0.2">
      <c r="A37" s="9">
        <v>35</v>
      </c>
      <c r="B37" s="10" t="s">
        <v>903</v>
      </c>
      <c r="C37" s="11" t="s">
        <v>909</v>
      </c>
      <c r="D37" s="13" t="s">
        <v>120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</sheetData>
  <autoFilter ref="A2:R37" xr:uid="{00000000-0009-0000-0000-00000C000000}"/>
  <mergeCells count="1">
    <mergeCell ref="A1:R1"/>
  </mergeCells>
  <conditionalFormatting sqref="K3:K37">
    <cfRule type="cellIs" dxfId="23" priority="6" operator="equal">
      <formula>"Evet"</formula>
    </cfRule>
  </conditionalFormatting>
  <conditionalFormatting sqref="R3:R37">
    <cfRule type="cellIs" dxfId="22" priority="2" operator="equal">
      <formula>"Dolduruldu"</formula>
    </cfRule>
    <cfRule type="cellIs" dxfId="21" priority="3" operator="equal">
      <formula>"Kısmen Dolduruldu"</formula>
    </cfRule>
    <cfRule type="cellIs" dxfId="20" priority="4" operator="equal">
      <formula>"Bilinmiyor"</formula>
    </cfRule>
    <cfRule type="cellIs" dxfId="19" priority="5" operator="equal">
      <formula>"Uygulanamaz"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00000000-0002-0000-0C00-000000000000}">
          <x14:formula1>
            <xm:f>Listeler!$A$2:$A$18</xm:f>
          </x14:formula1>
          <x14:formula2>
            <xm:f>0</xm:f>
          </x14:formula2>
          <xm:sqref>G3:G47</xm:sqref>
        </x14:dataValidation>
        <x14:dataValidation type="list" allowBlank="1" showErrorMessage="1" xr:uid="{00000000-0002-0000-0C00-000001000000}">
          <x14:formula1>
            <xm:f>Listeler!$B$2:$B$9</xm:f>
          </x14:formula1>
          <x14:formula2>
            <xm:f>0</xm:f>
          </x14:formula2>
          <xm:sqref>H3:H47</xm:sqref>
        </x14:dataValidation>
        <x14:dataValidation type="list" allowBlank="1" showErrorMessage="1" xr:uid="{00000000-0002-0000-0C00-000002000000}">
          <x14:formula1>
            <xm:f>Listeler!$C$2:$C$5</xm:f>
          </x14:formula1>
          <x14:formula2>
            <xm:f>0</xm:f>
          </x14:formula2>
          <xm:sqref>K3:K47</xm:sqref>
        </x14:dataValidation>
        <x14:dataValidation type="list" allowBlank="1" showErrorMessage="1" xr:uid="{00000000-0002-0000-0C00-000003000000}">
          <x14:formula1>
            <xm:f>Listeler!$D$2:$D$12</xm:f>
          </x14:formula1>
          <x14:formula2>
            <xm:f>0</xm:f>
          </x14:formula2>
          <xm:sqref>L3:L47</xm:sqref>
        </x14:dataValidation>
        <x14:dataValidation type="list" allowBlank="1" showErrorMessage="1" xr:uid="{00000000-0002-0000-0C00-000004000000}">
          <x14:formula1>
            <xm:f>Listeler!$F$2:$F$5</xm:f>
          </x14:formula1>
          <x14:formula2>
            <xm:f>0</xm:f>
          </x14:formula2>
          <xm:sqref>N3:N47</xm:sqref>
        </x14:dataValidation>
        <x14:dataValidation type="list" allowBlank="1" showErrorMessage="1" xr:uid="{00000000-0002-0000-0C00-000005000000}">
          <x14:formula1>
            <xm:f>Listeler!$G$2:$G$5</xm:f>
          </x14:formula1>
          <x14:formula2>
            <xm:f>0</xm:f>
          </x14:formula2>
          <xm:sqref>O3:O47</xm:sqref>
        </x14:dataValidation>
        <x14:dataValidation type="list" allowBlank="1" showErrorMessage="1" xr:uid="{00000000-0002-0000-0C00-000006000000}">
          <x14:formula1>
            <xm:f>Listeler!$E$2:$E$5</xm:f>
          </x14:formula1>
          <x14:formula2>
            <xm:f>0</xm:f>
          </x14:formula2>
          <xm:sqref>R3:R47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55A11"/>
  </sheetPr>
  <dimension ref="A1:R42"/>
  <sheetViews>
    <sheetView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sqref="A1:R1"/>
    </sheetView>
  </sheetViews>
  <sheetFormatPr baseColWidth="10" defaultColWidth="8.6640625" defaultRowHeight="15" x14ac:dyDescent="0.2"/>
  <cols>
    <col min="1" max="1" width="5" customWidth="1"/>
    <col min="2" max="2" width="16" customWidth="1"/>
    <col min="3" max="3" width="52" customWidth="1"/>
    <col min="4" max="4" width="10" customWidth="1"/>
    <col min="5" max="5" width="36" customWidth="1"/>
    <col min="6" max="6" width="26" customWidth="1"/>
    <col min="7" max="7" width="22" customWidth="1"/>
    <col min="8" max="10" width="20" customWidth="1"/>
    <col min="11" max="11" width="14" customWidth="1"/>
    <col min="12" max="12" width="30" customWidth="1"/>
    <col min="13" max="13" width="20" customWidth="1"/>
    <col min="14" max="15" width="12" customWidth="1"/>
    <col min="16" max="16" width="26" customWidth="1"/>
    <col min="17" max="17" width="14" customWidth="1"/>
    <col min="18" max="18" width="15" customWidth="1"/>
  </cols>
  <sheetData>
    <row r="1" spans="1:18" ht="24" customHeight="1" x14ac:dyDescent="0.2">
      <c r="A1" s="24" t="s">
        <v>910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30" customHeight="1" x14ac:dyDescent="0.2">
      <c r="A2" s="3" t="s">
        <v>90</v>
      </c>
      <c r="B2" s="3" t="s">
        <v>91</v>
      </c>
      <c r="C2" s="3" t="s">
        <v>92</v>
      </c>
      <c r="D2" s="3" t="s">
        <v>93</v>
      </c>
      <c r="E2" s="3" t="s">
        <v>94</v>
      </c>
      <c r="F2" s="3" t="s">
        <v>95</v>
      </c>
      <c r="G2" s="3" t="s">
        <v>96</v>
      </c>
      <c r="H2" s="3" t="s">
        <v>97</v>
      </c>
      <c r="I2" s="3" t="s">
        <v>98</v>
      </c>
      <c r="J2" s="3" t="s">
        <v>99</v>
      </c>
      <c r="K2" s="3" t="s">
        <v>100</v>
      </c>
      <c r="L2" s="3" t="s">
        <v>101</v>
      </c>
      <c r="M2" s="3" t="s">
        <v>102</v>
      </c>
      <c r="N2" s="3" t="s">
        <v>103</v>
      </c>
      <c r="O2" s="3" t="s">
        <v>104</v>
      </c>
      <c r="P2" s="3" t="s">
        <v>105</v>
      </c>
      <c r="Q2" s="3" t="s">
        <v>106</v>
      </c>
      <c r="R2" s="3" t="s">
        <v>107</v>
      </c>
    </row>
    <row r="3" spans="1:18" x14ac:dyDescent="0.2">
      <c r="A3" s="9">
        <v>1</v>
      </c>
      <c r="B3" s="10" t="s">
        <v>911</v>
      </c>
      <c r="C3" s="11" t="s">
        <v>912</v>
      </c>
      <c r="D3" s="12" t="s">
        <v>110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28" x14ac:dyDescent="0.2">
      <c r="A4" s="9">
        <v>2</v>
      </c>
      <c r="B4" s="10" t="s">
        <v>911</v>
      </c>
      <c r="C4" s="11" t="s">
        <v>913</v>
      </c>
      <c r="D4" s="12" t="s">
        <v>110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28" x14ac:dyDescent="0.2">
      <c r="A5" s="9">
        <v>3</v>
      </c>
      <c r="B5" s="10" t="s">
        <v>911</v>
      </c>
      <c r="C5" s="11" t="s">
        <v>914</v>
      </c>
      <c r="D5" s="12" t="s">
        <v>110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x14ac:dyDescent="0.2">
      <c r="A6" s="9">
        <v>4</v>
      </c>
      <c r="B6" s="10" t="s">
        <v>911</v>
      </c>
      <c r="C6" s="11" t="s">
        <v>915</v>
      </c>
      <c r="D6" s="12" t="s">
        <v>110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ht="28" x14ac:dyDescent="0.2">
      <c r="A7" s="9">
        <v>5</v>
      </c>
      <c r="B7" s="10" t="s">
        <v>911</v>
      </c>
      <c r="C7" s="11" t="s">
        <v>916</v>
      </c>
      <c r="D7" s="12" t="s">
        <v>110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ht="28" x14ac:dyDescent="0.2">
      <c r="A8" s="9">
        <v>6</v>
      </c>
      <c r="B8" s="10" t="s">
        <v>911</v>
      </c>
      <c r="C8" s="11" t="s">
        <v>917</v>
      </c>
      <c r="D8" s="12" t="s">
        <v>110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ht="28" x14ac:dyDescent="0.2">
      <c r="A9" s="9">
        <v>7</v>
      </c>
      <c r="B9" s="10" t="s">
        <v>911</v>
      </c>
      <c r="C9" s="11" t="s">
        <v>918</v>
      </c>
      <c r="D9" s="12" t="s">
        <v>110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ht="28" x14ac:dyDescent="0.2">
      <c r="A10" s="9">
        <v>8</v>
      </c>
      <c r="B10" s="10" t="s">
        <v>911</v>
      </c>
      <c r="C10" s="11" t="s">
        <v>919</v>
      </c>
      <c r="D10" s="12" t="s">
        <v>110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ht="28" x14ac:dyDescent="0.2">
      <c r="A11" s="9">
        <v>9</v>
      </c>
      <c r="B11" s="10" t="s">
        <v>911</v>
      </c>
      <c r="C11" s="11" t="s">
        <v>920</v>
      </c>
      <c r="D11" s="12" t="s">
        <v>110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ht="28" x14ac:dyDescent="0.2">
      <c r="A12" s="9">
        <v>10</v>
      </c>
      <c r="B12" s="10" t="s">
        <v>911</v>
      </c>
      <c r="C12" s="11" t="s">
        <v>921</v>
      </c>
      <c r="D12" s="12" t="s">
        <v>110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ht="28" x14ac:dyDescent="0.2">
      <c r="A13" s="9">
        <v>11</v>
      </c>
      <c r="B13" s="10" t="s">
        <v>911</v>
      </c>
      <c r="C13" s="11" t="s">
        <v>922</v>
      </c>
      <c r="D13" s="12" t="s">
        <v>110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ht="28" x14ac:dyDescent="0.2">
      <c r="A14" s="9">
        <v>12</v>
      </c>
      <c r="B14" s="10" t="s">
        <v>911</v>
      </c>
      <c r="C14" s="11" t="s">
        <v>923</v>
      </c>
      <c r="D14" s="13" t="s">
        <v>120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ht="28" x14ac:dyDescent="0.2">
      <c r="A15" s="9">
        <v>13</v>
      </c>
      <c r="B15" s="10" t="s">
        <v>924</v>
      </c>
      <c r="C15" s="11" t="s">
        <v>925</v>
      </c>
      <c r="D15" s="12" t="s">
        <v>110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x14ac:dyDescent="0.2">
      <c r="A16" s="9">
        <v>14</v>
      </c>
      <c r="B16" s="10" t="s">
        <v>924</v>
      </c>
      <c r="C16" s="11" t="s">
        <v>926</v>
      </c>
      <c r="D16" s="12" t="s">
        <v>110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ht="28" x14ac:dyDescent="0.2">
      <c r="A17" s="9">
        <v>15</v>
      </c>
      <c r="B17" s="10" t="s">
        <v>924</v>
      </c>
      <c r="C17" s="11" t="s">
        <v>927</v>
      </c>
      <c r="D17" s="12" t="s">
        <v>110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ht="28" x14ac:dyDescent="0.2">
      <c r="A18" s="9">
        <v>16</v>
      </c>
      <c r="B18" s="10" t="s">
        <v>924</v>
      </c>
      <c r="C18" s="11" t="s">
        <v>928</v>
      </c>
      <c r="D18" s="12" t="s">
        <v>110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x14ac:dyDescent="0.2">
      <c r="A19" s="9">
        <v>17</v>
      </c>
      <c r="B19" s="10" t="s">
        <v>924</v>
      </c>
      <c r="C19" s="11" t="s">
        <v>929</v>
      </c>
      <c r="D19" s="13" t="s">
        <v>120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x14ac:dyDescent="0.2">
      <c r="A20" s="9">
        <v>18</v>
      </c>
      <c r="B20" s="10" t="s">
        <v>924</v>
      </c>
      <c r="C20" s="11" t="s">
        <v>930</v>
      </c>
      <c r="D20" s="13" t="s">
        <v>120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x14ac:dyDescent="0.2">
      <c r="A21" s="9">
        <v>19</v>
      </c>
      <c r="B21" s="10" t="s">
        <v>924</v>
      </c>
      <c r="C21" s="11" t="s">
        <v>931</v>
      </c>
      <c r="D21" s="12" t="s">
        <v>110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x14ac:dyDescent="0.2">
      <c r="A22" s="9">
        <v>20</v>
      </c>
      <c r="B22" s="10" t="s">
        <v>924</v>
      </c>
      <c r="C22" s="11" t="s">
        <v>932</v>
      </c>
      <c r="D22" s="13" t="s">
        <v>120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x14ac:dyDescent="0.2">
      <c r="A23" s="9">
        <v>21</v>
      </c>
      <c r="B23" s="10" t="s">
        <v>933</v>
      </c>
      <c r="C23" s="11" t="s">
        <v>934</v>
      </c>
      <c r="D23" s="12" t="s">
        <v>110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ht="28" x14ac:dyDescent="0.2">
      <c r="A24" s="9">
        <v>22</v>
      </c>
      <c r="B24" s="10" t="s">
        <v>933</v>
      </c>
      <c r="C24" s="11" t="s">
        <v>935</v>
      </c>
      <c r="D24" s="12" t="s">
        <v>110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ht="28" x14ac:dyDescent="0.2">
      <c r="A25" s="9">
        <v>23</v>
      </c>
      <c r="B25" s="10" t="s">
        <v>933</v>
      </c>
      <c r="C25" s="11" t="s">
        <v>936</v>
      </c>
      <c r="D25" s="12" t="s">
        <v>110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x14ac:dyDescent="0.2">
      <c r="A26" s="9">
        <v>24</v>
      </c>
      <c r="B26" s="10" t="s">
        <v>933</v>
      </c>
      <c r="C26" s="11" t="s">
        <v>937</v>
      </c>
      <c r="D26" s="12" t="s">
        <v>110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x14ac:dyDescent="0.2">
      <c r="A27" s="9">
        <v>25</v>
      </c>
      <c r="B27" s="10" t="s">
        <v>933</v>
      </c>
      <c r="C27" s="11" t="s">
        <v>938</v>
      </c>
      <c r="D27" s="12" t="s">
        <v>110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ht="28" x14ac:dyDescent="0.2">
      <c r="A28" s="9">
        <v>26</v>
      </c>
      <c r="B28" s="10" t="s">
        <v>933</v>
      </c>
      <c r="C28" s="11" t="s">
        <v>939</v>
      </c>
      <c r="D28" s="12" t="s">
        <v>110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x14ac:dyDescent="0.2">
      <c r="A29" s="9">
        <v>27</v>
      </c>
      <c r="B29" s="10" t="s">
        <v>933</v>
      </c>
      <c r="C29" s="11" t="s">
        <v>940</v>
      </c>
      <c r="D29" s="13" t="s">
        <v>120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x14ac:dyDescent="0.2">
      <c r="A30" s="9">
        <v>28</v>
      </c>
      <c r="B30" s="10" t="s">
        <v>933</v>
      </c>
      <c r="C30" s="11" t="s">
        <v>941</v>
      </c>
      <c r="D30" s="12" t="s">
        <v>110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 ht="28" x14ac:dyDescent="0.2">
      <c r="A31" s="9">
        <v>29</v>
      </c>
      <c r="B31" s="10" t="s">
        <v>933</v>
      </c>
      <c r="C31" s="11" t="s">
        <v>942</v>
      </c>
      <c r="D31" s="13" t="s">
        <v>120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x14ac:dyDescent="0.2">
      <c r="A32" s="9">
        <v>30</v>
      </c>
      <c r="B32" s="10" t="s">
        <v>933</v>
      </c>
      <c r="C32" s="11" t="s">
        <v>943</v>
      </c>
      <c r="D32" s="13" t="s">
        <v>120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1:18" ht="28" x14ac:dyDescent="0.2">
      <c r="A33" s="9">
        <v>31</v>
      </c>
      <c r="B33" s="10" t="s">
        <v>944</v>
      </c>
      <c r="C33" s="11" t="s">
        <v>945</v>
      </c>
      <c r="D33" s="12" t="s">
        <v>110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 ht="28" x14ac:dyDescent="0.2">
      <c r="A34" s="9">
        <v>32</v>
      </c>
      <c r="B34" s="10" t="s">
        <v>944</v>
      </c>
      <c r="C34" s="11" t="s">
        <v>946</v>
      </c>
      <c r="D34" s="12" t="s">
        <v>110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1:18" x14ac:dyDescent="0.2">
      <c r="A35" s="9">
        <v>33</v>
      </c>
      <c r="B35" s="10" t="s">
        <v>944</v>
      </c>
      <c r="C35" s="11" t="s">
        <v>947</v>
      </c>
      <c r="D35" s="12" t="s">
        <v>110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1:18" ht="28" x14ac:dyDescent="0.2">
      <c r="A36" s="9">
        <v>34</v>
      </c>
      <c r="B36" s="10" t="s">
        <v>944</v>
      </c>
      <c r="C36" s="11" t="s">
        <v>948</v>
      </c>
      <c r="D36" s="13" t="s">
        <v>120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 ht="28" x14ac:dyDescent="0.2">
      <c r="A37" s="9">
        <v>35</v>
      </c>
      <c r="B37" s="10" t="s">
        <v>944</v>
      </c>
      <c r="C37" s="11" t="s">
        <v>949</v>
      </c>
      <c r="D37" s="13" t="s">
        <v>120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 ht="28" x14ac:dyDescent="0.2">
      <c r="A38" s="9">
        <v>36</v>
      </c>
      <c r="B38" s="10" t="s">
        <v>944</v>
      </c>
      <c r="C38" s="11" t="s">
        <v>950</v>
      </c>
      <c r="D38" s="13" t="s">
        <v>120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1:18" x14ac:dyDescent="0.2">
      <c r="A39" s="9">
        <v>37</v>
      </c>
      <c r="B39" s="10" t="s">
        <v>951</v>
      </c>
      <c r="C39" s="11" t="s">
        <v>952</v>
      </c>
      <c r="D39" s="13" t="s">
        <v>120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 x14ac:dyDescent="0.2">
      <c r="A40" s="9">
        <v>38</v>
      </c>
      <c r="B40" s="10" t="s">
        <v>951</v>
      </c>
      <c r="C40" s="11" t="s">
        <v>953</v>
      </c>
      <c r="D40" s="13" t="s">
        <v>120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 x14ac:dyDescent="0.2">
      <c r="A41" s="9">
        <v>39</v>
      </c>
      <c r="B41" s="10" t="s">
        <v>951</v>
      </c>
      <c r="C41" s="11" t="s">
        <v>954</v>
      </c>
      <c r="D41" s="13" t="s">
        <v>120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</row>
    <row r="42" spans="1:18" ht="28" x14ac:dyDescent="0.2">
      <c r="A42" s="9">
        <v>40</v>
      </c>
      <c r="B42" s="10" t="s">
        <v>951</v>
      </c>
      <c r="C42" s="11" t="s">
        <v>955</v>
      </c>
      <c r="D42" s="13" t="s">
        <v>120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</row>
  </sheetData>
  <autoFilter ref="A2:R42" xr:uid="{00000000-0009-0000-0000-00000D000000}"/>
  <mergeCells count="1">
    <mergeCell ref="A1:R1"/>
  </mergeCells>
  <conditionalFormatting sqref="K3:K42">
    <cfRule type="cellIs" dxfId="18" priority="6" operator="equal">
      <formula>"Evet"</formula>
    </cfRule>
  </conditionalFormatting>
  <conditionalFormatting sqref="R3:R42">
    <cfRule type="cellIs" dxfId="17" priority="2" operator="equal">
      <formula>"Dolduruldu"</formula>
    </cfRule>
    <cfRule type="cellIs" dxfId="16" priority="3" operator="equal">
      <formula>"Kısmen Dolduruldu"</formula>
    </cfRule>
    <cfRule type="cellIs" dxfId="15" priority="4" operator="equal">
      <formula>"Bilinmiyor"</formula>
    </cfRule>
    <cfRule type="cellIs" dxfId="14" priority="5" operator="equal">
      <formula>"Uygulanamaz"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00000000-0002-0000-0D00-000000000000}">
          <x14:formula1>
            <xm:f>Listeler!$A$2:$A$18</xm:f>
          </x14:formula1>
          <x14:formula2>
            <xm:f>0</xm:f>
          </x14:formula2>
          <xm:sqref>G3:G52</xm:sqref>
        </x14:dataValidation>
        <x14:dataValidation type="list" allowBlank="1" showErrorMessage="1" xr:uid="{00000000-0002-0000-0D00-000001000000}">
          <x14:formula1>
            <xm:f>Listeler!$B$2:$B$9</xm:f>
          </x14:formula1>
          <x14:formula2>
            <xm:f>0</xm:f>
          </x14:formula2>
          <xm:sqref>H3:H52</xm:sqref>
        </x14:dataValidation>
        <x14:dataValidation type="list" allowBlank="1" showErrorMessage="1" xr:uid="{00000000-0002-0000-0D00-000002000000}">
          <x14:formula1>
            <xm:f>Listeler!$C$2:$C$5</xm:f>
          </x14:formula1>
          <x14:formula2>
            <xm:f>0</xm:f>
          </x14:formula2>
          <xm:sqref>K3:K52</xm:sqref>
        </x14:dataValidation>
        <x14:dataValidation type="list" allowBlank="1" showErrorMessage="1" xr:uid="{00000000-0002-0000-0D00-000003000000}">
          <x14:formula1>
            <xm:f>Listeler!$D$2:$D$12</xm:f>
          </x14:formula1>
          <x14:formula2>
            <xm:f>0</xm:f>
          </x14:formula2>
          <xm:sqref>L3:L52</xm:sqref>
        </x14:dataValidation>
        <x14:dataValidation type="list" allowBlank="1" showErrorMessage="1" xr:uid="{00000000-0002-0000-0D00-000004000000}">
          <x14:formula1>
            <xm:f>Listeler!$F$2:$F$5</xm:f>
          </x14:formula1>
          <x14:formula2>
            <xm:f>0</xm:f>
          </x14:formula2>
          <xm:sqref>N3:N52</xm:sqref>
        </x14:dataValidation>
        <x14:dataValidation type="list" allowBlank="1" showErrorMessage="1" xr:uid="{00000000-0002-0000-0D00-000005000000}">
          <x14:formula1>
            <xm:f>Listeler!$G$2:$G$5</xm:f>
          </x14:formula1>
          <x14:formula2>
            <xm:f>0</xm:f>
          </x14:formula2>
          <xm:sqref>O3:O52</xm:sqref>
        </x14:dataValidation>
        <x14:dataValidation type="list" allowBlank="1" showErrorMessage="1" xr:uid="{00000000-0002-0000-0D00-000006000000}">
          <x14:formula1>
            <xm:f>Listeler!$E$2:$E$5</xm:f>
          </x14:formula1>
          <x14:formula2>
            <xm:f>0</xm:f>
          </x14:formula2>
          <xm:sqref>R3:R52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55A11"/>
  </sheetPr>
  <dimension ref="A1:R27"/>
  <sheetViews>
    <sheetView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sqref="A1:R1"/>
    </sheetView>
  </sheetViews>
  <sheetFormatPr baseColWidth="10" defaultColWidth="8.6640625" defaultRowHeight="15" x14ac:dyDescent="0.2"/>
  <cols>
    <col min="1" max="1" width="5" customWidth="1"/>
    <col min="2" max="2" width="16" customWidth="1"/>
    <col min="3" max="3" width="52" customWidth="1"/>
    <col min="4" max="4" width="10" customWidth="1"/>
    <col min="5" max="5" width="36" customWidth="1"/>
    <col min="6" max="6" width="26" customWidth="1"/>
    <col min="7" max="7" width="22" customWidth="1"/>
    <col min="8" max="10" width="20" customWidth="1"/>
    <col min="11" max="11" width="14" customWidth="1"/>
    <col min="12" max="12" width="30" customWidth="1"/>
    <col min="13" max="13" width="20" customWidth="1"/>
    <col min="14" max="15" width="12" customWidth="1"/>
    <col min="16" max="16" width="26" customWidth="1"/>
    <col min="17" max="17" width="14" customWidth="1"/>
    <col min="18" max="18" width="15" customWidth="1"/>
  </cols>
  <sheetData>
    <row r="1" spans="1:18" ht="24" customHeight="1" x14ac:dyDescent="0.2">
      <c r="A1" s="24" t="s">
        <v>956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30" customHeight="1" x14ac:dyDescent="0.2">
      <c r="A2" s="3" t="s">
        <v>90</v>
      </c>
      <c r="B2" s="3" t="s">
        <v>91</v>
      </c>
      <c r="C2" s="3" t="s">
        <v>92</v>
      </c>
      <c r="D2" s="3" t="s">
        <v>93</v>
      </c>
      <c r="E2" s="3" t="s">
        <v>94</v>
      </c>
      <c r="F2" s="3" t="s">
        <v>95</v>
      </c>
      <c r="G2" s="3" t="s">
        <v>96</v>
      </c>
      <c r="H2" s="3" t="s">
        <v>97</v>
      </c>
      <c r="I2" s="3" t="s">
        <v>98</v>
      </c>
      <c r="J2" s="3" t="s">
        <v>99</v>
      </c>
      <c r="K2" s="3" t="s">
        <v>100</v>
      </c>
      <c r="L2" s="3" t="s">
        <v>101</v>
      </c>
      <c r="M2" s="3" t="s">
        <v>102</v>
      </c>
      <c r="N2" s="3" t="s">
        <v>103</v>
      </c>
      <c r="O2" s="3" t="s">
        <v>104</v>
      </c>
      <c r="P2" s="3" t="s">
        <v>105</v>
      </c>
      <c r="Q2" s="3" t="s">
        <v>106</v>
      </c>
      <c r="R2" s="3" t="s">
        <v>107</v>
      </c>
    </row>
    <row r="3" spans="1:18" x14ac:dyDescent="0.2">
      <c r="A3" s="9">
        <v>1</v>
      </c>
      <c r="B3" s="10" t="s">
        <v>957</v>
      </c>
      <c r="C3" s="11" t="s">
        <v>958</v>
      </c>
      <c r="D3" s="12" t="s">
        <v>110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x14ac:dyDescent="0.2">
      <c r="A4" s="9">
        <v>2</v>
      </c>
      <c r="B4" s="10" t="s">
        <v>957</v>
      </c>
      <c r="C4" s="11" t="s">
        <v>959</v>
      </c>
      <c r="D4" s="12" t="s">
        <v>110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28" x14ac:dyDescent="0.2">
      <c r="A5" s="9">
        <v>3</v>
      </c>
      <c r="B5" s="10" t="s">
        <v>957</v>
      </c>
      <c r="C5" s="11" t="s">
        <v>960</v>
      </c>
      <c r="D5" s="12" t="s">
        <v>110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x14ac:dyDescent="0.2">
      <c r="A6" s="9">
        <v>4</v>
      </c>
      <c r="B6" s="10" t="s">
        <v>957</v>
      </c>
      <c r="C6" s="11" t="s">
        <v>961</v>
      </c>
      <c r="D6" s="13" t="s">
        <v>120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ht="28" x14ac:dyDescent="0.2">
      <c r="A7" s="9">
        <v>5</v>
      </c>
      <c r="B7" s="10" t="s">
        <v>957</v>
      </c>
      <c r="C7" s="11" t="s">
        <v>962</v>
      </c>
      <c r="D7" s="12" t="s">
        <v>110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x14ac:dyDescent="0.2">
      <c r="A8" s="9">
        <v>6</v>
      </c>
      <c r="B8" s="10" t="s">
        <v>957</v>
      </c>
      <c r="C8" s="11" t="s">
        <v>963</v>
      </c>
      <c r="D8" s="13" t="s">
        <v>120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ht="28" x14ac:dyDescent="0.2">
      <c r="A9" s="9">
        <v>7</v>
      </c>
      <c r="B9" s="10" t="s">
        <v>957</v>
      </c>
      <c r="C9" s="11" t="s">
        <v>964</v>
      </c>
      <c r="D9" s="13" t="s">
        <v>120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9">
        <v>8</v>
      </c>
      <c r="B10" s="10" t="s">
        <v>957</v>
      </c>
      <c r="C10" s="11" t="s">
        <v>965</v>
      </c>
      <c r="D10" s="12" t="s">
        <v>110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ht="28" x14ac:dyDescent="0.2">
      <c r="A11" s="9">
        <v>9</v>
      </c>
      <c r="B11" s="10" t="s">
        <v>966</v>
      </c>
      <c r="C11" s="11" t="s">
        <v>967</v>
      </c>
      <c r="D11" s="12" t="s">
        <v>110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ht="28" x14ac:dyDescent="0.2">
      <c r="A12" s="9">
        <v>10</v>
      </c>
      <c r="B12" s="10" t="s">
        <v>966</v>
      </c>
      <c r="C12" s="11" t="s">
        <v>968</v>
      </c>
      <c r="D12" s="12" t="s">
        <v>110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ht="28" x14ac:dyDescent="0.2">
      <c r="A13" s="9">
        <v>11</v>
      </c>
      <c r="B13" s="10" t="s">
        <v>966</v>
      </c>
      <c r="C13" s="11" t="s">
        <v>969</v>
      </c>
      <c r="D13" s="12" t="s">
        <v>110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x14ac:dyDescent="0.2">
      <c r="A14" s="9">
        <v>12</v>
      </c>
      <c r="B14" s="10" t="s">
        <v>966</v>
      </c>
      <c r="C14" s="11" t="s">
        <v>970</v>
      </c>
      <c r="D14" s="13" t="s">
        <v>120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x14ac:dyDescent="0.2">
      <c r="A15" s="9">
        <v>13</v>
      </c>
      <c r="B15" s="10" t="s">
        <v>966</v>
      </c>
      <c r="C15" s="11" t="s">
        <v>971</v>
      </c>
      <c r="D15" s="12" t="s">
        <v>110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x14ac:dyDescent="0.2">
      <c r="A16" s="9">
        <v>14</v>
      </c>
      <c r="B16" s="10" t="s">
        <v>966</v>
      </c>
      <c r="C16" s="11" t="s">
        <v>972</v>
      </c>
      <c r="D16" s="13" t="s">
        <v>120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x14ac:dyDescent="0.2">
      <c r="A17" s="9">
        <v>15</v>
      </c>
      <c r="B17" s="10" t="s">
        <v>966</v>
      </c>
      <c r="C17" s="11" t="s">
        <v>973</v>
      </c>
      <c r="D17" s="13" t="s">
        <v>120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x14ac:dyDescent="0.2">
      <c r="A18" s="9">
        <v>16</v>
      </c>
      <c r="B18" s="10" t="s">
        <v>966</v>
      </c>
      <c r="C18" s="11" t="s">
        <v>974</v>
      </c>
      <c r="D18" s="13" t="s">
        <v>120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x14ac:dyDescent="0.2">
      <c r="A19" s="9">
        <v>17</v>
      </c>
      <c r="B19" s="10" t="s">
        <v>975</v>
      </c>
      <c r="C19" s="11" t="s">
        <v>976</v>
      </c>
      <c r="D19" s="12" t="s">
        <v>110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x14ac:dyDescent="0.2">
      <c r="A20" s="9">
        <v>18</v>
      </c>
      <c r="B20" s="10" t="s">
        <v>975</v>
      </c>
      <c r="C20" s="11" t="s">
        <v>977</v>
      </c>
      <c r="D20" s="12" t="s">
        <v>110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x14ac:dyDescent="0.2">
      <c r="A21" s="9">
        <v>19</v>
      </c>
      <c r="B21" s="10" t="s">
        <v>975</v>
      </c>
      <c r="C21" s="11" t="s">
        <v>978</v>
      </c>
      <c r="D21" s="12" t="s">
        <v>110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x14ac:dyDescent="0.2">
      <c r="A22" s="9">
        <v>20</v>
      </c>
      <c r="B22" s="10" t="s">
        <v>975</v>
      </c>
      <c r="C22" s="11" t="s">
        <v>979</v>
      </c>
      <c r="D22" s="13" t="s">
        <v>120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ht="28" x14ac:dyDescent="0.2">
      <c r="A23" s="9">
        <v>21</v>
      </c>
      <c r="B23" s="10" t="s">
        <v>975</v>
      </c>
      <c r="C23" s="11" t="s">
        <v>980</v>
      </c>
      <c r="D23" s="12" t="s">
        <v>110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x14ac:dyDescent="0.2">
      <c r="A24" s="9">
        <v>22</v>
      </c>
      <c r="B24" s="10" t="s">
        <v>981</v>
      </c>
      <c r="C24" s="11" t="s">
        <v>982</v>
      </c>
      <c r="D24" s="12" t="s">
        <v>110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ht="28" x14ac:dyDescent="0.2">
      <c r="A25" s="9">
        <v>23</v>
      </c>
      <c r="B25" s="10" t="s">
        <v>981</v>
      </c>
      <c r="C25" s="11" t="s">
        <v>983</v>
      </c>
      <c r="D25" s="12" t="s">
        <v>110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ht="28" x14ac:dyDescent="0.2">
      <c r="A26" s="9">
        <v>24</v>
      </c>
      <c r="B26" s="10" t="s">
        <v>981</v>
      </c>
      <c r="C26" s="11" t="s">
        <v>984</v>
      </c>
      <c r="D26" s="13" t="s">
        <v>120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ht="28" x14ac:dyDescent="0.2">
      <c r="A27" s="9">
        <v>25</v>
      </c>
      <c r="B27" s="10" t="s">
        <v>981</v>
      </c>
      <c r="C27" s="11" t="s">
        <v>985</v>
      </c>
      <c r="D27" s="13" t="s">
        <v>120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</sheetData>
  <autoFilter ref="A2:R27" xr:uid="{00000000-0009-0000-0000-00000E000000}"/>
  <mergeCells count="1">
    <mergeCell ref="A1:R1"/>
  </mergeCells>
  <conditionalFormatting sqref="K3:K27">
    <cfRule type="cellIs" dxfId="13" priority="6" operator="equal">
      <formula>"Evet"</formula>
    </cfRule>
  </conditionalFormatting>
  <conditionalFormatting sqref="R3:R27">
    <cfRule type="cellIs" dxfId="12" priority="2" operator="equal">
      <formula>"Dolduruldu"</formula>
    </cfRule>
    <cfRule type="cellIs" dxfId="11" priority="3" operator="equal">
      <formula>"Kısmen Dolduruldu"</formula>
    </cfRule>
    <cfRule type="cellIs" dxfId="10" priority="4" operator="equal">
      <formula>"Bilinmiyor"</formula>
    </cfRule>
    <cfRule type="cellIs" dxfId="9" priority="5" operator="equal">
      <formula>"Uygulanamaz"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00000000-0002-0000-0E00-000000000000}">
          <x14:formula1>
            <xm:f>Listeler!$A$2:$A$18</xm:f>
          </x14:formula1>
          <x14:formula2>
            <xm:f>0</xm:f>
          </x14:formula2>
          <xm:sqref>G3:G37</xm:sqref>
        </x14:dataValidation>
        <x14:dataValidation type="list" allowBlank="1" showErrorMessage="1" xr:uid="{00000000-0002-0000-0E00-000001000000}">
          <x14:formula1>
            <xm:f>Listeler!$B$2:$B$9</xm:f>
          </x14:formula1>
          <x14:formula2>
            <xm:f>0</xm:f>
          </x14:formula2>
          <xm:sqref>H3:H37</xm:sqref>
        </x14:dataValidation>
        <x14:dataValidation type="list" allowBlank="1" showErrorMessage="1" xr:uid="{00000000-0002-0000-0E00-000002000000}">
          <x14:formula1>
            <xm:f>Listeler!$C$2:$C$5</xm:f>
          </x14:formula1>
          <x14:formula2>
            <xm:f>0</xm:f>
          </x14:formula2>
          <xm:sqref>K3:K37</xm:sqref>
        </x14:dataValidation>
        <x14:dataValidation type="list" allowBlank="1" showErrorMessage="1" xr:uid="{00000000-0002-0000-0E00-000003000000}">
          <x14:formula1>
            <xm:f>Listeler!$D$2:$D$12</xm:f>
          </x14:formula1>
          <x14:formula2>
            <xm:f>0</xm:f>
          </x14:formula2>
          <xm:sqref>L3:L37</xm:sqref>
        </x14:dataValidation>
        <x14:dataValidation type="list" allowBlank="1" showErrorMessage="1" xr:uid="{00000000-0002-0000-0E00-000004000000}">
          <x14:formula1>
            <xm:f>Listeler!$F$2:$F$5</xm:f>
          </x14:formula1>
          <x14:formula2>
            <xm:f>0</xm:f>
          </x14:formula2>
          <xm:sqref>N3:N37</xm:sqref>
        </x14:dataValidation>
        <x14:dataValidation type="list" allowBlank="1" showErrorMessage="1" xr:uid="{00000000-0002-0000-0E00-000005000000}">
          <x14:formula1>
            <xm:f>Listeler!$G$2:$G$5</xm:f>
          </x14:formula1>
          <x14:formula2>
            <xm:f>0</xm:f>
          </x14:formula2>
          <xm:sqref>O3:O37</xm:sqref>
        </x14:dataValidation>
        <x14:dataValidation type="list" allowBlank="1" showErrorMessage="1" xr:uid="{00000000-0002-0000-0E00-000006000000}">
          <x14:formula1>
            <xm:f>Listeler!$E$2:$E$5</xm:f>
          </x14:formula1>
          <x14:formula2>
            <xm:f>0</xm:f>
          </x14:formula2>
          <xm:sqref>R3:R37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03864"/>
  </sheetPr>
  <dimension ref="A1:N59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N1"/>
    </sheetView>
  </sheetViews>
  <sheetFormatPr baseColWidth="10" defaultColWidth="8.6640625" defaultRowHeight="15" x14ac:dyDescent="0.2"/>
  <cols>
    <col min="1" max="1" width="5" customWidth="1"/>
    <col min="2" max="2" width="30" customWidth="1"/>
    <col min="3" max="3" width="18" customWidth="1"/>
    <col min="4" max="4" width="34" customWidth="1"/>
    <col min="5" max="5" width="15" customWidth="1"/>
    <col min="6" max="6" width="24" customWidth="1"/>
    <col min="7" max="7" width="22" customWidth="1"/>
    <col min="8" max="8" width="26" customWidth="1"/>
    <col min="9" max="9" width="22" customWidth="1"/>
    <col min="10" max="10" width="14" customWidth="1"/>
    <col min="11" max="11" width="20" customWidth="1"/>
    <col min="12" max="12" width="18" customWidth="1"/>
    <col min="13" max="13" width="26" customWidth="1"/>
    <col min="14" max="14" width="15" customWidth="1"/>
  </cols>
  <sheetData>
    <row r="1" spans="1:14" ht="24" customHeight="1" x14ac:dyDescent="0.2">
      <c r="A1" s="24" t="s">
        <v>986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30" customHeight="1" x14ac:dyDescent="0.2">
      <c r="A2" s="3" t="s">
        <v>90</v>
      </c>
      <c r="B2" s="3" t="s">
        <v>987</v>
      </c>
      <c r="C2" s="3" t="s">
        <v>988</v>
      </c>
      <c r="D2" s="3" t="s">
        <v>989</v>
      </c>
      <c r="E2" s="3" t="s">
        <v>990</v>
      </c>
      <c r="F2" s="3" t="s">
        <v>991</v>
      </c>
      <c r="G2" s="3" t="s">
        <v>992</v>
      </c>
      <c r="H2" s="3" t="s">
        <v>95</v>
      </c>
      <c r="I2" s="3" t="s">
        <v>96</v>
      </c>
      <c r="J2" s="3" t="s">
        <v>100</v>
      </c>
      <c r="K2" s="3" t="s">
        <v>993</v>
      </c>
      <c r="L2" s="3" t="s">
        <v>994</v>
      </c>
      <c r="M2" s="3" t="s">
        <v>105</v>
      </c>
      <c r="N2" s="3" t="s">
        <v>107</v>
      </c>
    </row>
    <row r="3" spans="1:14" ht="28" x14ac:dyDescent="0.2">
      <c r="A3" s="11">
        <v>1</v>
      </c>
      <c r="B3" s="14" t="s">
        <v>995</v>
      </c>
      <c r="C3" s="11" t="s">
        <v>996</v>
      </c>
      <c r="D3" s="11" t="s">
        <v>997</v>
      </c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x14ac:dyDescent="0.2">
      <c r="A4" s="11">
        <v>2</v>
      </c>
      <c r="B4" s="14" t="s">
        <v>998</v>
      </c>
      <c r="C4" s="11" t="s">
        <v>999</v>
      </c>
      <c r="D4" s="11" t="s">
        <v>1000</v>
      </c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x14ac:dyDescent="0.2">
      <c r="A5" s="11">
        <v>3</v>
      </c>
      <c r="B5" s="14" t="s">
        <v>1001</v>
      </c>
      <c r="C5" s="11" t="s">
        <v>996</v>
      </c>
      <c r="D5" s="11" t="s">
        <v>1002</v>
      </c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x14ac:dyDescent="0.2">
      <c r="A6" s="11">
        <v>4</v>
      </c>
      <c r="B6" s="14" t="s">
        <v>1003</v>
      </c>
      <c r="C6" s="11" t="s">
        <v>1004</v>
      </c>
      <c r="D6" s="11" t="s">
        <v>1005</v>
      </c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 x14ac:dyDescent="0.2">
      <c r="A7" s="11">
        <v>5</v>
      </c>
      <c r="B7" s="14" t="s">
        <v>1006</v>
      </c>
      <c r="C7" s="11" t="s">
        <v>1004</v>
      </c>
      <c r="D7" s="11" t="s">
        <v>1005</v>
      </c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x14ac:dyDescent="0.2">
      <c r="A8" s="11">
        <v>6</v>
      </c>
      <c r="B8" s="14" t="s">
        <v>1007</v>
      </c>
      <c r="C8" s="11" t="s">
        <v>1004</v>
      </c>
      <c r="D8" s="11" t="s">
        <v>1005</v>
      </c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 x14ac:dyDescent="0.2">
      <c r="A9" s="11">
        <v>7</v>
      </c>
      <c r="B9" s="14" t="s">
        <v>1008</v>
      </c>
      <c r="C9" s="11" t="s">
        <v>1009</v>
      </c>
      <c r="D9" s="11" t="s">
        <v>1010</v>
      </c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1:14" x14ac:dyDescent="0.2">
      <c r="A10" s="11">
        <v>8</v>
      </c>
      <c r="B10" s="14" t="s">
        <v>1011</v>
      </c>
      <c r="C10" s="11" t="s">
        <v>1009</v>
      </c>
      <c r="D10" s="11" t="s">
        <v>1012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x14ac:dyDescent="0.2">
      <c r="A11" s="11">
        <v>9</v>
      </c>
      <c r="B11" s="14" t="s">
        <v>1013</v>
      </c>
      <c r="C11" s="11" t="s">
        <v>1009</v>
      </c>
      <c r="D11" s="11" t="s">
        <v>1014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14" x14ac:dyDescent="0.2">
      <c r="A12" s="11">
        <v>10</v>
      </c>
      <c r="B12" s="14" t="s">
        <v>1015</v>
      </c>
      <c r="C12" s="11" t="s">
        <v>1009</v>
      </c>
      <c r="D12" s="11" t="s">
        <v>1016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14" x14ac:dyDescent="0.2">
      <c r="A13" s="11">
        <v>11</v>
      </c>
      <c r="B13" s="14" t="s">
        <v>1017</v>
      </c>
      <c r="C13" s="11" t="s">
        <v>404</v>
      </c>
      <c r="D13" s="11" t="s">
        <v>1018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 x14ac:dyDescent="0.2">
      <c r="A14" s="11">
        <v>12</v>
      </c>
      <c r="B14" s="14" t="s">
        <v>1019</v>
      </c>
      <c r="C14" s="11" t="s">
        <v>404</v>
      </c>
      <c r="D14" s="11" t="s">
        <v>1018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14" x14ac:dyDescent="0.2">
      <c r="A15" s="11">
        <v>13</v>
      </c>
      <c r="B15" s="14" t="s">
        <v>1020</v>
      </c>
      <c r="C15" s="11" t="s">
        <v>404</v>
      </c>
      <c r="D15" s="11" t="s">
        <v>1021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4" x14ac:dyDescent="0.2">
      <c r="A16" s="11">
        <v>14</v>
      </c>
      <c r="B16" s="14" t="s">
        <v>1022</v>
      </c>
      <c r="C16" s="11" t="s">
        <v>404</v>
      </c>
      <c r="D16" s="11" t="s">
        <v>1023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14" x14ac:dyDescent="0.2">
      <c r="A17" s="11">
        <v>15</v>
      </c>
      <c r="B17" s="14" t="s">
        <v>1024</v>
      </c>
      <c r="C17" s="11" t="s">
        <v>1025</v>
      </c>
      <c r="D17" s="11" t="s">
        <v>1026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 x14ac:dyDescent="0.2">
      <c r="A18" s="11">
        <v>16</v>
      </c>
      <c r="B18" s="14" t="s">
        <v>1027</v>
      </c>
      <c r="C18" s="11" t="s">
        <v>1025</v>
      </c>
      <c r="D18" s="11" t="s">
        <v>1026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4" x14ac:dyDescent="0.2">
      <c r="A19" s="11">
        <v>17</v>
      </c>
      <c r="B19" s="14" t="s">
        <v>1028</v>
      </c>
      <c r="C19" s="11" t="s">
        <v>1025</v>
      </c>
      <c r="D19" s="11" t="s">
        <v>1029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 x14ac:dyDescent="0.2">
      <c r="A20" s="11">
        <v>18</v>
      </c>
      <c r="B20" s="14" t="s">
        <v>1030</v>
      </c>
      <c r="C20" s="11" t="s">
        <v>1031</v>
      </c>
      <c r="D20" s="11" t="s">
        <v>1032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14" x14ac:dyDescent="0.2">
      <c r="A21" s="11">
        <v>19</v>
      </c>
      <c r="B21" s="14" t="s">
        <v>1033</v>
      </c>
      <c r="C21" s="11" t="s">
        <v>1031</v>
      </c>
      <c r="D21" s="11" t="s">
        <v>1034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1:14" x14ac:dyDescent="0.2">
      <c r="A22" s="11">
        <v>20</v>
      </c>
      <c r="B22" s="14" t="s">
        <v>1035</v>
      </c>
      <c r="C22" s="11" t="s">
        <v>1031</v>
      </c>
      <c r="D22" s="11" t="s">
        <v>1036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 x14ac:dyDescent="0.2">
      <c r="A23" s="11">
        <v>21</v>
      </c>
      <c r="B23" s="14" t="s">
        <v>1037</v>
      </c>
      <c r="C23" s="11" t="s">
        <v>1031</v>
      </c>
      <c r="D23" s="11" t="s">
        <v>1038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 x14ac:dyDescent="0.2">
      <c r="A24" s="11">
        <v>22</v>
      </c>
      <c r="B24" s="14" t="s">
        <v>1039</v>
      </c>
      <c r="C24" s="11" t="s">
        <v>1040</v>
      </c>
      <c r="D24" s="11" t="s">
        <v>1041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14" x14ac:dyDescent="0.2">
      <c r="A25" s="11">
        <v>23</v>
      </c>
      <c r="B25" s="14" t="s">
        <v>1042</v>
      </c>
      <c r="C25" s="11" t="s">
        <v>1040</v>
      </c>
      <c r="D25" s="11" t="s">
        <v>1043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14" x14ac:dyDescent="0.2">
      <c r="A26" s="11">
        <v>24</v>
      </c>
      <c r="B26" s="14" t="s">
        <v>1044</v>
      </c>
      <c r="C26" s="11" t="s">
        <v>540</v>
      </c>
      <c r="D26" s="11" t="s">
        <v>1045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4" x14ac:dyDescent="0.2">
      <c r="A27" s="11">
        <v>25</v>
      </c>
      <c r="B27" s="14" t="s">
        <v>1046</v>
      </c>
      <c r="C27" s="11" t="s">
        <v>1047</v>
      </c>
      <c r="D27" s="11" t="s">
        <v>1048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14" x14ac:dyDescent="0.2">
      <c r="A28" s="11">
        <v>26</v>
      </c>
      <c r="B28" s="14" t="s">
        <v>1049</v>
      </c>
      <c r="C28" s="11" t="s">
        <v>540</v>
      </c>
      <c r="D28" s="11" t="s">
        <v>1045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 x14ac:dyDescent="0.2">
      <c r="A29" s="11">
        <v>27</v>
      </c>
      <c r="B29" s="14" t="s">
        <v>1050</v>
      </c>
      <c r="C29" s="11" t="s">
        <v>1051</v>
      </c>
      <c r="D29" s="11" t="s">
        <v>1052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 x14ac:dyDescent="0.2">
      <c r="A30" s="11">
        <v>28</v>
      </c>
      <c r="B30" s="14" t="s">
        <v>1053</v>
      </c>
      <c r="C30" s="11" t="s">
        <v>1051</v>
      </c>
      <c r="D30" s="11" t="s">
        <v>1054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14" x14ac:dyDescent="0.2">
      <c r="A31" s="11">
        <v>29</v>
      </c>
      <c r="B31" s="14" t="s">
        <v>1055</v>
      </c>
      <c r="C31" s="11" t="s">
        <v>1051</v>
      </c>
      <c r="D31" s="11" t="s">
        <v>1056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x14ac:dyDescent="0.2">
      <c r="A32" s="11">
        <v>30</v>
      </c>
      <c r="B32" s="14" t="s">
        <v>1057</v>
      </c>
      <c r="C32" s="11" t="s">
        <v>1058</v>
      </c>
      <c r="D32" s="11" t="s">
        <v>1059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x14ac:dyDescent="0.2">
      <c r="A33" s="11">
        <v>31</v>
      </c>
      <c r="B33" s="14" t="s">
        <v>1060</v>
      </c>
      <c r="C33" s="11" t="s">
        <v>1058</v>
      </c>
      <c r="D33" s="11" t="s">
        <v>1061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1:14" x14ac:dyDescent="0.2">
      <c r="A34" s="11">
        <v>32</v>
      </c>
      <c r="B34" s="14" t="s">
        <v>1062</v>
      </c>
      <c r="C34" s="11" t="s">
        <v>1063</v>
      </c>
      <c r="D34" s="11" t="s">
        <v>1064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1:14" x14ac:dyDescent="0.2">
      <c r="A35" s="11">
        <v>33</v>
      </c>
      <c r="B35" s="14" t="s">
        <v>1065</v>
      </c>
      <c r="C35" s="11" t="s">
        <v>1063</v>
      </c>
      <c r="D35" s="11" t="s">
        <v>1066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1:14" ht="28" x14ac:dyDescent="0.2">
      <c r="A36" s="11">
        <v>34</v>
      </c>
      <c r="B36" s="14" t="s">
        <v>1067</v>
      </c>
      <c r="C36" s="11" t="s">
        <v>1068</v>
      </c>
      <c r="D36" s="11" t="s">
        <v>1069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spans="1:14" x14ac:dyDescent="0.2">
      <c r="A37" s="11">
        <v>35</v>
      </c>
      <c r="B37" s="14" t="s">
        <v>1070</v>
      </c>
      <c r="C37" s="11" t="s">
        <v>1071</v>
      </c>
      <c r="D37" s="11" t="s">
        <v>1072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spans="1:14" x14ac:dyDescent="0.2">
      <c r="A38" s="11">
        <v>36</v>
      </c>
      <c r="B38" s="14" t="s">
        <v>1073</v>
      </c>
      <c r="C38" s="11" t="s">
        <v>1071</v>
      </c>
      <c r="D38" s="11" t="s">
        <v>1074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1:14" x14ac:dyDescent="0.2">
      <c r="A39" s="11">
        <v>37</v>
      </c>
      <c r="B39" s="14" t="s">
        <v>1075</v>
      </c>
      <c r="C39" s="11" t="s">
        <v>1071</v>
      </c>
      <c r="D39" s="11" t="s">
        <v>1076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 x14ac:dyDescent="0.2">
      <c r="A40" s="11">
        <v>38</v>
      </c>
      <c r="B40" s="14" t="s">
        <v>1077</v>
      </c>
      <c r="C40" s="11" t="s">
        <v>1071</v>
      </c>
      <c r="D40" s="11" t="s">
        <v>1072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 x14ac:dyDescent="0.2">
      <c r="A41" s="11">
        <v>39</v>
      </c>
      <c r="B41" s="14" t="s">
        <v>1078</v>
      </c>
      <c r="C41" s="11" t="s">
        <v>1058</v>
      </c>
      <c r="D41" s="11" t="s">
        <v>1079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1:14" x14ac:dyDescent="0.2">
      <c r="A42" s="11">
        <v>40</v>
      </c>
      <c r="B42" s="14" t="s">
        <v>1080</v>
      </c>
      <c r="C42" s="11" t="s">
        <v>1081</v>
      </c>
      <c r="D42" s="11" t="s">
        <v>1082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1:14" x14ac:dyDescent="0.2">
      <c r="A43" s="11">
        <v>41</v>
      </c>
      <c r="B43" s="14" t="s">
        <v>1083</v>
      </c>
      <c r="C43" s="11" t="s">
        <v>1084</v>
      </c>
      <c r="D43" s="11" t="s">
        <v>1085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 spans="1:14" x14ac:dyDescent="0.2">
      <c r="A44" s="11">
        <v>42</v>
      </c>
      <c r="B44" s="14" t="s">
        <v>1086</v>
      </c>
      <c r="C44" s="11" t="s">
        <v>1087</v>
      </c>
      <c r="D44" s="11" t="s">
        <v>1088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 spans="1:14" x14ac:dyDescent="0.2">
      <c r="A45" s="11">
        <v>43</v>
      </c>
      <c r="B45" s="14" t="s">
        <v>1089</v>
      </c>
      <c r="C45" s="11" t="s">
        <v>1090</v>
      </c>
      <c r="D45" s="11" t="s">
        <v>1091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x14ac:dyDescent="0.2">
      <c r="A46" s="11">
        <v>44</v>
      </c>
      <c r="B46" s="14" t="s">
        <v>1092</v>
      </c>
      <c r="C46" s="11" t="s">
        <v>1093</v>
      </c>
      <c r="D46" s="11" t="s">
        <v>1094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ht="28" x14ac:dyDescent="0.2">
      <c r="A47" s="11">
        <v>45</v>
      </c>
      <c r="B47" s="14" t="s">
        <v>1095</v>
      </c>
      <c r="C47" s="11" t="s">
        <v>1096</v>
      </c>
      <c r="D47" s="11" t="s">
        <v>1097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1:14" x14ac:dyDescent="0.2">
      <c r="A48" s="11">
        <v>46</v>
      </c>
      <c r="B48" s="15" t="s">
        <v>1098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x14ac:dyDescent="0.2">
      <c r="A49" s="11">
        <v>47</v>
      </c>
      <c r="B49" s="15" t="s">
        <v>1098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2">
      <c r="A50" s="11">
        <v>48</v>
      </c>
      <c r="B50" s="15" t="s">
        <v>1098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x14ac:dyDescent="0.2">
      <c r="A51" s="11">
        <v>49</v>
      </c>
      <c r="B51" s="15" t="s">
        <v>1098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x14ac:dyDescent="0.2">
      <c r="A52" s="11">
        <v>50</v>
      </c>
      <c r="B52" s="15" t="s">
        <v>1098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x14ac:dyDescent="0.2">
      <c r="A53" s="11">
        <v>51</v>
      </c>
      <c r="B53" s="15" t="s">
        <v>1098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x14ac:dyDescent="0.2">
      <c r="A54" s="11">
        <v>52</v>
      </c>
      <c r="B54" s="15" t="s">
        <v>1098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x14ac:dyDescent="0.2">
      <c r="A55" s="11">
        <v>53</v>
      </c>
      <c r="B55" s="15" t="s">
        <v>1098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x14ac:dyDescent="0.2">
      <c r="A56" s="11">
        <v>54</v>
      </c>
      <c r="B56" s="15" t="s">
        <v>1098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x14ac:dyDescent="0.2">
      <c r="A57" s="11">
        <v>55</v>
      </c>
      <c r="B57" s="15" t="s">
        <v>1098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x14ac:dyDescent="0.2">
      <c r="A58" s="11">
        <v>56</v>
      </c>
      <c r="B58" s="15" t="s">
        <v>1098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x14ac:dyDescent="0.2">
      <c r="A59" s="11">
        <v>57</v>
      </c>
      <c r="B59" s="15" t="s">
        <v>1098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</sheetData>
  <autoFilter ref="A2:N59" xr:uid="{00000000-0009-0000-0000-00000F000000}"/>
  <mergeCells count="1">
    <mergeCell ref="A1:N1"/>
  </mergeCells>
  <conditionalFormatting sqref="J3:J59">
    <cfRule type="cellIs" dxfId="8" priority="6" operator="equal">
      <formula>"Evet"</formula>
    </cfRule>
  </conditionalFormatting>
  <conditionalFormatting sqref="K3:K59">
    <cfRule type="cellIs" dxfId="7" priority="7" operator="equal">
      <formula>"Yok"</formula>
    </cfRule>
  </conditionalFormatting>
  <conditionalFormatting sqref="N3:N59">
    <cfRule type="cellIs" dxfId="6" priority="2" operator="equal">
      <formula>"Dolduruldu"</formula>
    </cfRule>
    <cfRule type="cellIs" dxfId="5" priority="3" operator="equal">
      <formula>"Kısmen Dolduruldu"</formula>
    </cfRule>
    <cfRule type="cellIs" dxfId="4" priority="4" operator="equal">
      <formula>"Bilinmiyor"</formula>
    </cfRule>
    <cfRule type="cellIs" dxfId="3" priority="5" operator="equal">
      <formula>"Uygulanamaz"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F00-000000000000}">
          <x14:formula1>
            <xm:f>Listeler!$H$2:$H$6</xm:f>
          </x14:formula1>
          <x14:formula2>
            <xm:f>0</xm:f>
          </x14:formula2>
          <xm:sqref>E3:E59</xm:sqref>
        </x14:dataValidation>
        <x14:dataValidation type="list" allowBlank="1" showErrorMessage="1" xr:uid="{00000000-0002-0000-0F00-000001000000}">
          <x14:formula1>
            <xm:f>Listeler!$A$2:$A$18</xm:f>
          </x14:formula1>
          <x14:formula2>
            <xm:f>0</xm:f>
          </x14:formula2>
          <xm:sqref>I3:I59</xm:sqref>
        </x14:dataValidation>
        <x14:dataValidation type="list" allowBlank="1" showErrorMessage="1" xr:uid="{00000000-0002-0000-0F00-000002000000}">
          <x14:formula1>
            <xm:f>Listeler!$C$2:$C$5</xm:f>
          </x14:formula1>
          <x14:formula2>
            <xm:f>0</xm:f>
          </x14:formula2>
          <xm:sqref>J3:J59</xm:sqref>
        </x14:dataValidation>
        <x14:dataValidation type="list" allowBlank="1" showErrorMessage="1" xr:uid="{00000000-0002-0000-0F00-000003000000}">
          <x14:formula1>
            <xm:f>Listeler!$I$2:$I$5</xm:f>
          </x14:formula1>
          <x14:formula2>
            <xm:f>0</xm:f>
          </x14:formula2>
          <xm:sqref>K3:K59</xm:sqref>
        </x14:dataValidation>
        <x14:dataValidation type="list" allowBlank="1" showErrorMessage="1" xr:uid="{00000000-0002-0000-0F00-000004000000}">
          <x14:formula1>
            <xm:f>Listeler!$E$2:$E$5</xm:f>
          </x14:formula1>
          <x14:formula2>
            <xm:f>0</xm:f>
          </x14:formula2>
          <xm:sqref>N3:N59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C00000"/>
  </sheetPr>
  <dimension ref="A1:I77"/>
  <sheetViews>
    <sheetView zoomScaleNormal="100" workbookViewId="0">
      <pane ySplit="2" topLeftCell="A3" activePane="bottomLeft" state="frozen"/>
      <selection pane="bottomLeft" sqref="A1:I1"/>
    </sheetView>
  </sheetViews>
  <sheetFormatPr baseColWidth="10" defaultColWidth="8.6640625" defaultRowHeight="15" x14ac:dyDescent="0.2"/>
  <cols>
    <col min="1" max="1" width="5" customWidth="1"/>
    <col min="2" max="2" width="20" customWidth="1"/>
    <col min="3" max="3" width="52" customWidth="1"/>
    <col min="4" max="4" width="22" customWidth="1"/>
    <col min="5" max="5" width="10" customWidth="1"/>
    <col min="6" max="6" width="15" customWidth="1"/>
    <col min="7" max="7" width="34" customWidth="1"/>
    <col min="8" max="8" width="16" customWidth="1"/>
    <col min="9" max="9" width="26" customWidth="1"/>
  </cols>
  <sheetData>
    <row r="1" spans="1:9" ht="24" customHeight="1" x14ac:dyDescent="0.2">
      <c r="A1" s="24" t="s">
        <v>1099</v>
      </c>
      <c r="B1" s="24"/>
      <c r="C1" s="24"/>
      <c r="D1" s="24"/>
      <c r="E1" s="24"/>
      <c r="F1" s="24"/>
      <c r="G1" s="24"/>
      <c r="H1" s="24"/>
      <c r="I1" s="24"/>
    </row>
    <row r="2" spans="1:9" ht="30" customHeight="1" x14ac:dyDescent="0.2">
      <c r="A2" s="3" t="s">
        <v>90</v>
      </c>
      <c r="B2" s="3" t="s">
        <v>988</v>
      </c>
      <c r="C2" s="3" t="s">
        <v>1100</v>
      </c>
      <c r="D2" s="3" t="s">
        <v>1101</v>
      </c>
      <c r="E2" s="3" t="s">
        <v>93</v>
      </c>
      <c r="F2" s="3" t="s">
        <v>107</v>
      </c>
      <c r="G2" s="3" t="s">
        <v>1102</v>
      </c>
      <c r="H2" s="3" t="s">
        <v>106</v>
      </c>
      <c r="I2" s="3" t="s">
        <v>1103</v>
      </c>
    </row>
    <row r="3" spans="1:9" x14ac:dyDescent="0.2">
      <c r="A3" s="11">
        <v>1</v>
      </c>
      <c r="B3" s="10" t="s">
        <v>1104</v>
      </c>
      <c r="C3" s="11" t="s">
        <v>1105</v>
      </c>
      <c r="D3" s="11" t="s">
        <v>76</v>
      </c>
      <c r="E3" s="12" t="s">
        <v>110</v>
      </c>
      <c r="F3" s="11"/>
      <c r="G3" s="11"/>
      <c r="H3" s="11"/>
      <c r="I3" s="11"/>
    </row>
    <row r="4" spans="1:9" x14ac:dyDescent="0.2">
      <c r="A4" s="11">
        <v>2</v>
      </c>
      <c r="B4" s="10" t="s">
        <v>1104</v>
      </c>
      <c r="C4" s="11" t="s">
        <v>1106</v>
      </c>
      <c r="D4" s="11" t="s">
        <v>76</v>
      </c>
      <c r="E4" s="12" t="s">
        <v>110</v>
      </c>
      <c r="F4" s="11"/>
      <c r="G4" s="11"/>
      <c r="H4" s="11"/>
      <c r="I4" s="11"/>
    </row>
    <row r="5" spans="1:9" x14ac:dyDescent="0.2">
      <c r="A5" s="11">
        <v>3</v>
      </c>
      <c r="B5" s="10" t="s">
        <v>1104</v>
      </c>
      <c r="C5" s="11" t="s">
        <v>1107</v>
      </c>
      <c r="D5" s="11" t="s">
        <v>69</v>
      </c>
      <c r="E5" s="12" t="s">
        <v>110</v>
      </c>
      <c r="F5" s="11"/>
      <c r="G5" s="11"/>
      <c r="H5" s="11"/>
      <c r="I5" s="11"/>
    </row>
    <row r="6" spans="1:9" x14ac:dyDescent="0.2">
      <c r="A6" s="11">
        <v>4</v>
      </c>
      <c r="B6" s="10" t="s">
        <v>1104</v>
      </c>
      <c r="C6" s="11" t="s">
        <v>1108</v>
      </c>
      <c r="D6" s="11" t="s">
        <v>76</v>
      </c>
      <c r="E6" s="12" t="s">
        <v>110</v>
      </c>
      <c r="F6" s="11"/>
      <c r="G6" s="11"/>
      <c r="H6" s="11"/>
      <c r="I6" s="11"/>
    </row>
    <row r="7" spans="1:9" x14ac:dyDescent="0.2">
      <c r="A7" s="11">
        <v>5</v>
      </c>
      <c r="B7" s="10" t="s">
        <v>1104</v>
      </c>
      <c r="C7" s="11" t="s">
        <v>1109</v>
      </c>
      <c r="D7" s="11" t="s">
        <v>69</v>
      </c>
      <c r="E7" s="12" t="s">
        <v>110</v>
      </c>
      <c r="F7" s="11"/>
      <c r="G7" s="11"/>
      <c r="H7" s="11"/>
      <c r="I7" s="11"/>
    </row>
    <row r="8" spans="1:9" x14ac:dyDescent="0.2">
      <c r="A8" s="11">
        <v>6</v>
      </c>
      <c r="B8" s="10" t="s">
        <v>1104</v>
      </c>
      <c r="C8" s="11" t="s">
        <v>1110</v>
      </c>
      <c r="D8" s="11" t="s">
        <v>69</v>
      </c>
      <c r="E8" s="12" t="s">
        <v>110</v>
      </c>
      <c r="F8" s="11"/>
      <c r="G8" s="11"/>
      <c r="H8" s="11"/>
      <c r="I8" s="11"/>
    </row>
    <row r="9" spans="1:9" x14ac:dyDescent="0.2">
      <c r="A9" s="11">
        <v>7</v>
      </c>
      <c r="B9" s="10" t="s">
        <v>1104</v>
      </c>
      <c r="C9" s="11" t="s">
        <v>1111</v>
      </c>
      <c r="D9" s="11" t="s">
        <v>68</v>
      </c>
      <c r="E9" s="13" t="s">
        <v>120</v>
      </c>
      <c r="F9" s="11"/>
      <c r="G9" s="11"/>
      <c r="H9" s="11"/>
      <c r="I9" s="11"/>
    </row>
    <row r="10" spans="1:9" x14ac:dyDescent="0.2">
      <c r="A10" s="11">
        <v>8</v>
      </c>
      <c r="B10" s="10" t="s">
        <v>1104</v>
      </c>
      <c r="C10" s="11" t="s">
        <v>1112</v>
      </c>
      <c r="D10" s="11" t="s">
        <v>69</v>
      </c>
      <c r="E10" s="13" t="s">
        <v>120</v>
      </c>
      <c r="F10" s="11"/>
      <c r="G10" s="11"/>
      <c r="H10" s="11"/>
      <c r="I10" s="11"/>
    </row>
    <row r="11" spans="1:9" x14ac:dyDescent="0.2">
      <c r="A11" s="11">
        <v>9</v>
      </c>
      <c r="B11" s="10" t="s">
        <v>1104</v>
      </c>
      <c r="C11" s="11" t="s">
        <v>1113</v>
      </c>
      <c r="D11" s="11" t="s">
        <v>69</v>
      </c>
      <c r="E11" s="12" t="s">
        <v>110</v>
      </c>
      <c r="F11" s="11"/>
      <c r="G11" s="11"/>
      <c r="H11" s="11"/>
      <c r="I11" s="11"/>
    </row>
    <row r="12" spans="1:9" x14ac:dyDescent="0.2">
      <c r="A12" s="11">
        <v>10</v>
      </c>
      <c r="B12" s="10" t="s">
        <v>1104</v>
      </c>
      <c r="C12" s="11" t="s">
        <v>1114</v>
      </c>
      <c r="D12" s="11" t="s">
        <v>73</v>
      </c>
      <c r="E12" s="13" t="s">
        <v>120</v>
      </c>
      <c r="F12" s="11"/>
      <c r="G12" s="11"/>
      <c r="H12" s="11"/>
      <c r="I12" s="11"/>
    </row>
    <row r="13" spans="1:9" x14ac:dyDescent="0.2">
      <c r="A13" s="11">
        <v>11</v>
      </c>
      <c r="B13" s="10" t="s">
        <v>1104</v>
      </c>
      <c r="C13" s="11" t="s">
        <v>1115</v>
      </c>
      <c r="D13" s="11" t="s">
        <v>78</v>
      </c>
      <c r="E13" s="13" t="s">
        <v>120</v>
      </c>
      <c r="F13" s="11"/>
      <c r="G13" s="11"/>
      <c r="H13" s="11"/>
      <c r="I13" s="11"/>
    </row>
    <row r="14" spans="1:9" x14ac:dyDescent="0.2">
      <c r="A14" s="11">
        <v>12</v>
      </c>
      <c r="B14" s="10" t="s">
        <v>1104</v>
      </c>
      <c r="C14" s="11" t="s">
        <v>1116</v>
      </c>
      <c r="D14" s="11" t="s">
        <v>69</v>
      </c>
      <c r="E14" s="12" t="s">
        <v>110</v>
      </c>
      <c r="F14" s="11"/>
      <c r="G14" s="11"/>
      <c r="H14" s="11"/>
      <c r="I14" s="11"/>
    </row>
    <row r="15" spans="1:9" x14ac:dyDescent="0.2">
      <c r="A15" s="11">
        <v>13</v>
      </c>
      <c r="B15" s="10" t="s">
        <v>1104</v>
      </c>
      <c r="C15" s="11" t="s">
        <v>1117</v>
      </c>
      <c r="D15" s="11" t="s">
        <v>78</v>
      </c>
      <c r="E15" s="12" t="s">
        <v>110</v>
      </c>
      <c r="F15" s="11"/>
      <c r="G15" s="11"/>
      <c r="H15" s="11"/>
      <c r="I15" s="11"/>
    </row>
    <row r="16" spans="1:9" x14ac:dyDescent="0.2">
      <c r="A16" s="11">
        <v>14</v>
      </c>
      <c r="B16" s="10" t="s">
        <v>1104</v>
      </c>
      <c r="C16" s="11" t="s">
        <v>1118</v>
      </c>
      <c r="D16" s="11" t="s">
        <v>68</v>
      </c>
      <c r="E16" s="12" t="s">
        <v>110</v>
      </c>
      <c r="F16" s="11"/>
      <c r="G16" s="11"/>
      <c r="H16" s="11"/>
      <c r="I16" s="11"/>
    </row>
    <row r="17" spans="1:9" x14ac:dyDescent="0.2">
      <c r="A17" s="11">
        <v>15</v>
      </c>
      <c r="B17" s="10" t="s">
        <v>1104</v>
      </c>
      <c r="C17" s="11" t="s">
        <v>1119</v>
      </c>
      <c r="D17" s="11" t="s">
        <v>76</v>
      </c>
      <c r="E17" s="12" t="s">
        <v>110</v>
      </c>
      <c r="F17" s="11"/>
      <c r="G17" s="11"/>
      <c r="H17" s="11"/>
      <c r="I17" s="11"/>
    </row>
    <row r="18" spans="1:9" x14ac:dyDescent="0.2">
      <c r="A18" s="11">
        <v>16</v>
      </c>
      <c r="B18" s="10" t="s">
        <v>1120</v>
      </c>
      <c r="C18" s="11" t="s">
        <v>1121</v>
      </c>
      <c r="D18" s="11" t="s">
        <v>68</v>
      </c>
      <c r="E18" s="12" t="s">
        <v>110</v>
      </c>
      <c r="F18" s="11"/>
      <c r="G18" s="11"/>
      <c r="H18" s="11"/>
      <c r="I18" s="11"/>
    </row>
    <row r="19" spans="1:9" x14ac:dyDescent="0.2">
      <c r="A19" s="11">
        <v>17</v>
      </c>
      <c r="B19" s="10" t="s">
        <v>1120</v>
      </c>
      <c r="C19" s="11" t="s">
        <v>1122</v>
      </c>
      <c r="D19" s="11" t="s">
        <v>68</v>
      </c>
      <c r="E19" s="12" t="s">
        <v>110</v>
      </c>
      <c r="F19" s="11"/>
      <c r="G19" s="11"/>
      <c r="H19" s="11"/>
      <c r="I19" s="11"/>
    </row>
    <row r="20" spans="1:9" x14ac:dyDescent="0.2">
      <c r="A20" s="11">
        <v>18</v>
      </c>
      <c r="B20" s="10" t="s">
        <v>1120</v>
      </c>
      <c r="C20" s="11" t="s">
        <v>1123</v>
      </c>
      <c r="D20" s="11" t="s">
        <v>71</v>
      </c>
      <c r="E20" s="12" t="s">
        <v>110</v>
      </c>
      <c r="F20" s="11"/>
      <c r="G20" s="11"/>
      <c r="H20" s="11"/>
      <c r="I20" s="11"/>
    </row>
    <row r="21" spans="1:9" x14ac:dyDescent="0.2">
      <c r="A21" s="11">
        <v>19</v>
      </c>
      <c r="B21" s="10" t="s">
        <v>1120</v>
      </c>
      <c r="C21" s="11" t="s">
        <v>1124</v>
      </c>
      <c r="D21" s="11" t="s">
        <v>78</v>
      </c>
      <c r="E21" s="12" t="s">
        <v>110</v>
      </c>
      <c r="F21" s="11"/>
      <c r="G21" s="11"/>
      <c r="H21" s="11"/>
      <c r="I21" s="11"/>
    </row>
    <row r="22" spans="1:9" x14ac:dyDescent="0.2">
      <c r="A22" s="11">
        <v>20</v>
      </c>
      <c r="B22" s="10" t="s">
        <v>1120</v>
      </c>
      <c r="C22" s="11" t="s">
        <v>1125</v>
      </c>
      <c r="D22" s="11" t="s">
        <v>78</v>
      </c>
      <c r="E22" s="12" t="s">
        <v>110</v>
      </c>
      <c r="F22" s="11"/>
      <c r="G22" s="11"/>
      <c r="H22" s="11"/>
      <c r="I22" s="11"/>
    </row>
    <row r="23" spans="1:9" x14ac:dyDescent="0.2">
      <c r="A23" s="11">
        <v>21</v>
      </c>
      <c r="B23" s="10" t="s">
        <v>1120</v>
      </c>
      <c r="C23" s="11" t="s">
        <v>1126</v>
      </c>
      <c r="D23" s="11" t="s">
        <v>72</v>
      </c>
      <c r="E23" s="12" t="s">
        <v>110</v>
      </c>
      <c r="F23" s="11"/>
      <c r="G23" s="11"/>
      <c r="H23" s="11"/>
      <c r="I23" s="11"/>
    </row>
    <row r="24" spans="1:9" x14ac:dyDescent="0.2">
      <c r="A24" s="11">
        <v>22</v>
      </c>
      <c r="B24" s="10" t="s">
        <v>1120</v>
      </c>
      <c r="C24" s="11" t="s">
        <v>1127</v>
      </c>
      <c r="D24" s="11" t="s">
        <v>68</v>
      </c>
      <c r="E24" s="12" t="s">
        <v>110</v>
      </c>
      <c r="F24" s="11"/>
      <c r="G24" s="11"/>
      <c r="H24" s="11"/>
      <c r="I24" s="11"/>
    </row>
    <row r="25" spans="1:9" x14ac:dyDescent="0.2">
      <c r="A25" s="11">
        <v>23</v>
      </c>
      <c r="B25" s="10" t="s">
        <v>1120</v>
      </c>
      <c r="C25" s="11" t="s">
        <v>1128</v>
      </c>
      <c r="D25" s="11" t="s">
        <v>72</v>
      </c>
      <c r="E25" s="12" t="s">
        <v>110</v>
      </c>
      <c r="F25" s="11"/>
      <c r="G25" s="11"/>
      <c r="H25" s="11"/>
      <c r="I25" s="11"/>
    </row>
    <row r="26" spans="1:9" x14ac:dyDescent="0.2">
      <c r="A26" s="11">
        <v>24</v>
      </c>
      <c r="B26" s="10" t="s">
        <v>1129</v>
      </c>
      <c r="C26" s="11" t="s">
        <v>1130</v>
      </c>
      <c r="D26" s="11" t="s">
        <v>68</v>
      </c>
      <c r="E26" s="12" t="s">
        <v>110</v>
      </c>
      <c r="F26" s="11"/>
      <c r="G26" s="11"/>
      <c r="H26" s="11"/>
      <c r="I26" s="11"/>
    </row>
    <row r="27" spans="1:9" x14ac:dyDescent="0.2">
      <c r="A27" s="11">
        <v>25</v>
      </c>
      <c r="B27" s="10" t="s">
        <v>1129</v>
      </c>
      <c r="C27" s="11" t="s">
        <v>1131</v>
      </c>
      <c r="D27" s="11" t="s">
        <v>68</v>
      </c>
      <c r="E27" s="12" t="s">
        <v>110</v>
      </c>
      <c r="F27" s="11"/>
      <c r="G27" s="11"/>
      <c r="H27" s="11"/>
      <c r="I27" s="11"/>
    </row>
    <row r="28" spans="1:9" x14ac:dyDescent="0.2">
      <c r="A28" s="11">
        <v>26</v>
      </c>
      <c r="B28" s="10" t="s">
        <v>1129</v>
      </c>
      <c r="C28" s="11" t="s">
        <v>1132</v>
      </c>
      <c r="D28" s="11" t="s">
        <v>68</v>
      </c>
      <c r="E28" s="12" t="s">
        <v>110</v>
      </c>
      <c r="F28" s="11"/>
      <c r="G28" s="11"/>
      <c r="H28" s="11"/>
      <c r="I28" s="11"/>
    </row>
    <row r="29" spans="1:9" x14ac:dyDescent="0.2">
      <c r="A29" s="11">
        <v>27</v>
      </c>
      <c r="B29" s="10" t="s">
        <v>1129</v>
      </c>
      <c r="C29" s="11" t="s">
        <v>1133</v>
      </c>
      <c r="D29" s="11" t="s">
        <v>68</v>
      </c>
      <c r="E29" s="12" t="s">
        <v>110</v>
      </c>
      <c r="F29" s="11"/>
      <c r="G29" s="11"/>
      <c r="H29" s="11"/>
      <c r="I29" s="11"/>
    </row>
    <row r="30" spans="1:9" x14ac:dyDescent="0.2">
      <c r="A30" s="11">
        <v>28</v>
      </c>
      <c r="B30" s="10" t="s">
        <v>1129</v>
      </c>
      <c r="C30" s="11" t="s">
        <v>1134</v>
      </c>
      <c r="D30" s="11" t="s">
        <v>68</v>
      </c>
      <c r="E30" s="13" t="s">
        <v>120</v>
      </c>
      <c r="F30" s="11"/>
      <c r="G30" s="11"/>
      <c r="H30" s="11"/>
      <c r="I30" s="11"/>
    </row>
    <row r="31" spans="1:9" x14ac:dyDescent="0.2">
      <c r="A31" s="11">
        <v>29</v>
      </c>
      <c r="B31" s="10" t="s">
        <v>1129</v>
      </c>
      <c r="C31" s="11" t="s">
        <v>1135</v>
      </c>
      <c r="D31" s="11" t="s">
        <v>68</v>
      </c>
      <c r="E31" s="12" t="s">
        <v>110</v>
      </c>
      <c r="F31" s="11"/>
      <c r="G31" s="11"/>
      <c r="H31" s="11"/>
      <c r="I31" s="11"/>
    </row>
    <row r="32" spans="1:9" x14ac:dyDescent="0.2">
      <c r="A32" s="11">
        <v>30</v>
      </c>
      <c r="B32" s="10" t="s">
        <v>1129</v>
      </c>
      <c r="C32" s="11" t="s">
        <v>1136</v>
      </c>
      <c r="D32" s="11" t="s">
        <v>74</v>
      </c>
      <c r="E32" s="12" t="s">
        <v>110</v>
      </c>
      <c r="F32" s="11"/>
      <c r="G32" s="11"/>
      <c r="H32" s="11"/>
      <c r="I32" s="11"/>
    </row>
    <row r="33" spans="1:9" x14ac:dyDescent="0.2">
      <c r="A33" s="11">
        <v>31</v>
      </c>
      <c r="B33" s="10" t="s">
        <v>1129</v>
      </c>
      <c r="C33" s="11" t="s">
        <v>1137</v>
      </c>
      <c r="D33" s="11" t="s">
        <v>68</v>
      </c>
      <c r="E33" s="12" t="s">
        <v>110</v>
      </c>
      <c r="F33" s="11"/>
      <c r="G33" s="11"/>
      <c r="H33" s="11"/>
      <c r="I33" s="11"/>
    </row>
    <row r="34" spans="1:9" x14ac:dyDescent="0.2">
      <c r="A34" s="11">
        <v>32</v>
      </c>
      <c r="B34" s="10" t="s">
        <v>1129</v>
      </c>
      <c r="C34" s="11" t="s">
        <v>1138</v>
      </c>
      <c r="D34" s="11" t="s">
        <v>68</v>
      </c>
      <c r="E34" s="12" t="s">
        <v>110</v>
      </c>
      <c r="F34" s="11"/>
      <c r="G34" s="11"/>
      <c r="H34" s="11"/>
      <c r="I34" s="11"/>
    </row>
    <row r="35" spans="1:9" x14ac:dyDescent="0.2">
      <c r="A35" s="11">
        <v>33</v>
      </c>
      <c r="B35" s="10" t="s">
        <v>1129</v>
      </c>
      <c r="C35" s="11" t="s">
        <v>1139</v>
      </c>
      <c r="D35" s="11" t="s">
        <v>68</v>
      </c>
      <c r="E35" s="13" t="s">
        <v>120</v>
      </c>
      <c r="F35" s="11"/>
      <c r="G35" s="11"/>
      <c r="H35" s="11"/>
      <c r="I35" s="11"/>
    </row>
    <row r="36" spans="1:9" x14ac:dyDescent="0.2">
      <c r="A36" s="11">
        <v>34</v>
      </c>
      <c r="B36" s="10" t="s">
        <v>1140</v>
      </c>
      <c r="C36" s="11" t="s">
        <v>1141</v>
      </c>
      <c r="D36" s="11" t="s">
        <v>69</v>
      </c>
      <c r="E36" s="12" t="s">
        <v>110</v>
      </c>
      <c r="F36" s="11"/>
      <c r="G36" s="11"/>
      <c r="H36" s="11"/>
      <c r="I36" s="11"/>
    </row>
    <row r="37" spans="1:9" x14ac:dyDescent="0.2">
      <c r="A37" s="11">
        <v>35</v>
      </c>
      <c r="B37" s="10" t="s">
        <v>1140</v>
      </c>
      <c r="C37" s="11" t="s">
        <v>1142</v>
      </c>
      <c r="D37" s="11" t="s">
        <v>69</v>
      </c>
      <c r="E37" s="12" t="s">
        <v>110</v>
      </c>
      <c r="F37" s="11"/>
      <c r="G37" s="11"/>
      <c r="H37" s="11"/>
      <c r="I37" s="11"/>
    </row>
    <row r="38" spans="1:9" x14ac:dyDescent="0.2">
      <c r="A38" s="11">
        <v>36</v>
      </c>
      <c r="B38" s="10" t="s">
        <v>1140</v>
      </c>
      <c r="C38" s="11" t="s">
        <v>1143</v>
      </c>
      <c r="D38" s="11" t="s">
        <v>69</v>
      </c>
      <c r="E38" s="12" t="s">
        <v>110</v>
      </c>
      <c r="F38" s="11"/>
      <c r="G38" s="11"/>
      <c r="H38" s="11"/>
      <c r="I38" s="11"/>
    </row>
    <row r="39" spans="1:9" x14ac:dyDescent="0.2">
      <c r="A39" s="11">
        <v>37</v>
      </c>
      <c r="B39" s="10" t="s">
        <v>1140</v>
      </c>
      <c r="C39" s="11" t="s">
        <v>1144</v>
      </c>
      <c r="D39" s="11" t="s">
        <v>69</v>
      </c>
      <c r="E39" s="12" t="s">
        <v>110</v>
      </c>
      <c r="F39" s="11"/>
      <c r="G39" s="11"/>
      <c r="H39" s="11"/>
      <c r="I39" s="11"/>
    </row>
    <row r="40" spans="1:9" x14ac:dyDescent="0.2">
      <c r="A40" s="11">
        <v>38</v>
      </c>
      <c r="B40" s="10" t="s">
        <v>1140</v>
      </c>
      <c r="C40" s="11" t="s">
        <v>1145</v>
      </c>
      <c r="D40" s="11" t="s">
        <v>69</v>
      </c>
      <c r="E40" s="12" t="s">
        <v>110</v>
      </c>
      <c r="F40" s="11"/>
      <c r="G40" s="11"/>
      <c r="H40" s="11"/>
      <c r="I40" s="11"/>
    </row>
    <row r="41" spans="1:9" x14ac:dyDescent="0.2">
      <c r="A41" s="11">
        <v>39</v>
      </c>
      <c r="B41" s="10" t="s">
        <v>1140</v>
      </c>
      <c r="C41" s="11" t="s">
        <v>1146</v>
      </c>
      <c r="D41" s="11" t="s">
        <v>69</v>
      </c>
      <c r="E41" s="12" t="s">
        <v>110</v>
      </c>
      <c r="F41" s="11"/>
      <c r="G41" s="11"/>
      <c r="H41" s="11"/>
      <c r="I41" s="11"/>
    </row>
    <row r="42" spans="1:9" x14ac:dyDescent="0.2">
      <c r="A42" s="11">
        <v>40</v>
      </c>
      <c r="B42" s="10" t="s">
        <v>1140</v>
      </c>
      <c r="C42" s="11" t="s">
        <v>1147</v>
      </c>
      <c r="D42" s="11" t="s">
        <v>69</v>
      </c>
      <c r="E42" s="12" t="s">
        <v>110</v>
      </c>
      <c r="F42" s="11"/>
      <c r="G42" s="11"/>
      <c r="H42" s="11"/>
      <c r="I42" s="11"/>
    </row>
    <row r="43" spans="1:9" x14ac:dyDescent="0.2">
      <c r="A43" s="11">
        <v>41</v>
      </c>
      <c r="B43" s="10" t="s">
        <v>1140</v>
      </c>
      <c r="C43" s="11" t="s">
        <v>1148</v>
      </c>
      <c r="D43" s="11" t="s">
        <v>69</v>
      </c>
      <c r="E43" s="12" t="s">
        <v>110</v>
      </c>
      <c r="F43" s="11"/>
      <c r="G43" s="11"/>
      <c r="H43" s="11"/>
      <c r="I43" s="11"/>
    </row>
    <row r="44" spans="1:9" x14ac:dyDescent="0.2">
      <c r="A44" s="11">
        <v>42</v>
      </c>
      <c r="B44" s="10" t="s">
        <v>1140</v>
      </c>
      <c r="C44" s="11" t="s">
        <v>1149</v>
      </c>
      <c r="D44" s="11" t="s">
        <v>69</v>
      </c>
      <c r="E44" s="12" t="s">
        <v>110</v>
      </c>
      <c r="F44" s="11"/>
      <c r="G44" s="11"/>
      <c r="H44" s="11"/>
      <c r="I44" s="11"/>
    </row>
    <row r="45" spans="1:9" x14ac:dyDescent="0.2">
      <c r="A45" s="11">
        <v>43</v>
      </c>
      <c r="B45" s="10" t="s">
        <v>1140</v>
      </c>
      <c r="C45" s="11" t="s">
        <v>1150</v>
      </c>
      <c r="D45" s="11" t="s">
        <v>1151</v>
      </c>
      <c r="E45" s="13" t="s">
        <v>120</v>
      </c>
      <c r="F45" s="11"/>
      <c r="G45" s="11"/>
      <c r="H45" s="11"/>
      <c r="I45" s="11"/>
    </row>
    <row r="46" spans="1:9" x14ac:dyDescent="0.2">
      <c r="A46" s="11">
        <v>44</v>
      </c>
      <c r="B46" s="10" t="s">
        <v>1140</v>
      </c>
      <c r="C46" s="11" t="s">
        <v>1152</v>
      </c>
      <c r="D46" s="11" t="s">
        <v>69</v>
      </c>
      <c r="E46" s="12" t="s">
        <v>110</v>
      </c>
      <c r="F46" s="11"/>
      <c r="G46" s="11"/>
      <c r="H46" s="11"/>
      <c r="I46" s="11"/>
    </row>
    <row r="47" spans="1:9" x14ac:dyDescent="0.2">
      <c r="A47" s="11">
        <v>45</v>
      </c>
      <c r="B47" s="10" t="s">
        <v>1140</v>
      </c>
      <c r="C47" s="11" t="s">
        <v>1153</v>
      </c>
      <c r="D47" s="11" t="s">
        <v>69</v>
      </c>
      <c r="E47" s="12" t="s">
        <v>110</v>
      </c>
      <c r="F47" s="11"/>
      <c r="G47" s="11"/>
      <c r="H47" s="11"/>
      <c r="I47" s="11"/>
    </row>
    <row r="48" spans="1:9" x14ac:dyDescent="0.2">
      <c r="A48" s="11">
        <v>46</v>
      </c>
      <c r="B48" s="10" t="s">
        <v>1140</v>
      </c>
      <c r="C48" s="11" t="s">
        <v>1154</v>
      </c>
      <c r="D48" s="11" t="s">
        <v>70</v>
      </c>
      <c r="E48" s="12" t="s">
        <v>110</v>
      </c>
      <c r="F48" s="11"/>
      <c r="G48" s="11"/>
      <c r="H48" s="11"/>
      <c r="I48" s="11"/>
    </row>
    <row r="49" spans="1:9" x14ac:dyDescent="0.2">
      <c r="A49" s="11">
        <v>47</v>
      </c>
      <c r="B49" s="10" t="s">
        <v>1140</v>
      </c>
      <c r="C49" s="11" t="s">
        <v>1155</v>
      </c>
      <c r="D49" s="11" t="s">
        <v>69</v>
      </c>
      <c r="E49" s="12" t="s">
        <v>110</v>
      </c>
      <c r="F49" s="11"/>
      <c r="G49" s="11"/>
      <c r="H49" s="11"/>
      <c r="I49" s="11"/>
    </row>
    <row r="50" spans="1:9" x14ac:dyDescent="0.2">
      <c r="A50" s="11">
        <v>48</v>
      </c>
      <c r="B50" s="10" t="s">
        <v>1140</v>
      </c>
      <c r="C50" s="11" t="s">
        <v>1156</v>
      </c>
      <c r="D50" s="11" t="s">
        <v>69</v>
      </c>
      <c r="E50" s="13" t="s">
        <v>120</v>
      </c>
      <c r="F50" s="11"/>
      <c r="G50" s="11"/>
      <c r="H50" s="11"/>
      <c r="I50" s="11"/>
    </row>
    <row r="51" spans="1:9" x14ac:dyDescent="0.2">
      <c r="A51" s="11">
        <v>49</v>
      </c>
      <c r="B51" s="10" t="s">
        <v>1140</v>
      </c>
      <c r="C51" s="11" t="s">
        <v>1157</v>
      </c>
      <c r="D51" s="11" t="s">
        <v>69</v>
      </c>
      <c r="E51" s="13" t="s">
        <v>120</v>
      </c>
      <c r="F51" s="11"/>
      <c r="G51" s="11"/>
      <c r="H51" s="11"/>
      <c r="I51" s="11"/>
    </row>
    <row r="52" spans="1:9" x14ac:dyDescent="0.2">
      <c r="A52" s="11">
        <v>50</v>
      </c>
      <c r="B52" s="10" t="s">
        <v>1140</v>
      </c>
      <c r="C52" s="11" t="s">
        <v>1158</v>
      </c>
      <c r="D52" s="11" t="s">
        <v>70</v>
      </c>
      <c r="E52" s="12" t="s">
        <v>110</v>
      </c>
      <c r="F52" s="11"/>
      <c r="G52" s="11"/>
      <c r="H52" s="11"/>
      <c r="I52" s="11"/>
    </row>
    <row r="53" spans="1:9" x14ac:dyDescent="0.2">
      <c r="A53" s="11">
        <v>51</v>
      </c>
      <c r="B53" s="10" t="s">
        <v>1140</v>
      </c>
      <c r="C53" s="11" t="s">
        <v>1159</v>
      </c>
      <c r="D53" s="11" t="s">
        <v>69</v>
      </c>
      <c r="E53" s="12" t="s">
        <v>110</v>
      </c>
      <c r="F53" s="11"/>
      <c r="G53" s="11"/>
      <c r="H53" s="11"/>
      <c r="I53" s="11"/>
    </row>
    <row r="54" spans="1:9" x14ac:dyDescent="0.2">
      <c r="A54" s="11">
        <v>52</v>
      </c>
      <c r="B54" s="10" t="s">
        <v>1160</v>
      </c>
      <c r="C54" s="11" t="s">
        <v>1161</v>
      </c>
      <c r="D54" s="11" t="s">
        <v>76</v>
      </c>
      <c r="E54" s="12" t="s">
        <v>110</v>
      </c>
      <c r="F54" s="11"/>
      <c r="G54" s="11"/>
      <c r="H54" s="11"/>
      <c r="I54" s="11"/>
    </row>
    <row r="55" spans="1:9" x14ac:dyDescent="0.2">
      <c r="A55" s="11">
        <v>53</v>
      </c>
      <c r="B55" s="10" t="s">
        <v>1160</v>
      </c>
      <c r="C55" s="11" t="s">
        <v>1162</v>
      </c>
      <c r="D55" s="11" t="s">
        <v>76</v>
      </c>
      <c r="E55" s="12" t="s">
        <v>110</v>
      </c>
      <c r="F55" s="11"/>
      <c r="G55" s="11"/>
      <c r="H55" s="11"/>
      <c r="I55" s="11"/>
    </row>
    <row r="56" spans="1:9" x14ac:dyDescent="0.2">
      <c r="A56" s="11">
        <v>54</v>
      </c>
      <c r="B56" s="10" t="s">
        <v>1160</v>
      </c>
      <c r="C56" s="11" t="s">
        <v>1163</v>
      </c>
      <c r="D56" s="11" t="s">
        <v>75</v>
      </c>
      <c r="E56" s="12" t="s">
        <v>110</v>
      </c>
      <c r="F56" s="11"/>
      <c r="G56" s="11"/>
      <c r="H56" s="11"/>
      <c r="I56" s="11"/>
    </row>
    <row r="57" spans="1:9" x14ac:dyDescent="0.2">
      <c r="A57" s="11">
        <v>55</v>
      </c>
      <c r="B57" s="10" t="s">
        <v>1160</v>
      </c>
      <c r="C57" s="11" t="s">
        <v>1164</v>
      </c>
      <c r="D57" s="11" t="s">
        <v>75</v>
      </c>
      <c r="E57" s="12" t="s">
        <v>110</v>
      </c>
      <c r="F57" s="11"/>
      <c r="G57" s="11"/>
      <c r="H57" s="11"/>
      <c r="I57" s="11"/>
    </row>
    <row r="58" spans="1:9" x14ac:dyDescent="0.2">
      <c r="A58" s="11">
        <v>56</v>
      </c>
      <c r="B58" s="10" t="s">
        <v>1160</v>
      </c>
      <c r="C58" s="11" t="s">
        <v>1165</v>
      </c>
      <c r="D58" s="11" t="s">
        <v>78</v>
      </c>
      <c r="E58" s="12" t="s">
        <v>110</v>
      </c>
      <c r="F58" s="11"/>
      <c r="G58" s="11"/>
      <c r="H58" s="11"/>
      <c r="I58" s="11"/>
    </row>
    <row r="59" spans="1:9" x14ac:dyDescent="0.2">
      <c r="A59" s="11">
        <v>57</v>
      </c>
      <c r="B59" s="10" t="s">
        <v>1160</v>
      </c>
      <c r="C59" s="11" t="s">
        <v>1166</v>
      </c>
      <c r="D59" s="11" t="s">
        <v>79</v>
      </c>
      <c r="E59" s="12" t="s">
        <v>110</v>
      </c>
      <c r="F59" s="11"/>
      <c r="G59" s="11"/>
      <c r="H59" s="11"/>
      <c r="I59" s="11"/>
    </row>
    <row r="60" spans="1:9" x14ac:dyDescent="0.2">
      <c r="A60" s="11">
        <v>58</v>
      </c>
      <c r="B60" s="10" t="s">
        <v>1160</v>
      </c>
      <c r="C60" s="11" t="s">
        <v>1167</v>
      </c>
      <c r="D60" s="11" t="s">
        <v>71</v>
      </c>
      <c r="E60" s="12" t="s">
        <v>110</v>
      </c>
      <c r="F60" s="11"/>
      <c r="G60" s="11"/>
      <c r="H60" s="11"/>
      <c r="I60" s="11"/>
    </row>
    <row r="61" spans="1:9" x14ac:dyDescent="0.2">
      <c r="A61" s="11">
        <v>59</v>
      </c>
      <c r="B61" s="10" t="s">
        <v>1160</v>
      </c>
      <c r="C61" s="11" t="s">
        <v>1168</v>
      </c>
      <c r="D61" s="11" t="s">
        <v>73</v>
      </c>
      <c r="E61" s="12" t="s">
        <v>110</v>
      </c>
      <c r="F61" s="11"/>
      <c r="G61" s="11"/>
      <c r="H61" s="11"/>
      <c r="I61" s="11"/>
    </row>
    <row r="62" spans="1:9" x14ac:dyDescent="0.2">
      <c r="A62" s="11">
        <v>60</v>
      </c>
      <c r="B62" s="10" t="s">
        <v>1160</v>
      </c>
      <c r="C62" s="11" t="s">
        <v>1169</v>
      </c>
      <c r="D62" s="11" t="s">
        <v>76</v>
      </c>
      <c r="E62" s="12" t="s">
        <v>110</v>
      </c>
      <c r="F62" s="11"/>
      <c r="G62" s="11"/>
      <c r="H62" s="11"/>
      <c r="I62" s="11"/>
    </row>
    <row r="63" spans="1:9" x14ac:dyDescent="0.2">
      <c r="A63" s="11">
        <v>61</v>
      </c>
      <c r="B63" s="10" t="s">
        <v>1160</v>
      </c>
      <c r="C63" s="11" t="s">
        <v>1170</v>
      </c>
      <c r="D63" s="11" t="s">
        <v>77</v>
      </c>
      <c r="E63" s="13" t="s">
        <v>120</v>
      </c>
      <c r="F63" s="11"/>
      <c r="G63" s="11"/>
      <c r="H63" s="11"/>
      <c r="I63" s="11"/>
    </row>
    <row r="64" spans="1:9" x14ac:dyDescent="0.2">
      <c r="A64" s="11">
        <v>62</v>
      </c>
      <c r="B64" s="10" t="s">
        <v>1160</v>
      </c>
      <c r="C64" s="11" t="s">
        <v>1171</v>
      </c>
      <c r="D64" s="11" t="s">
        <v>70</v>
      </c>
      <c r="E64" s="12" t="s">
        <v>110</v>
      </c>
      <c r="F64" s="11"/>
      <c r="G64" s="11"/>
      <c r="H64" s="11"/>
      <c r="I64" s="11"/>
    </row>
    <row r="65" spans="1:9" x14ac:dyDescent="0.2">
      <c r="A65" s="11">
        <v>63</v>
      </c>
      <c r="B65" s="10" t="s">
        <v>1160</v>
      </c>
      <c r="C65" s="11" t="s">
        <v>1172</v>
      </c>
      <c r="D65" s="11" t="s">
        <v>74</v>
      </c>
      <c r="E65" s="12" t="s">
        <v>110</v>
      </c>
      <c r="F65" s="11"/>
      <c r="G65" s="11"/>
      <c r="H65" s="11"/>
      <c r="I65" s="11"/>
    </row>
    <row r="66" spans="1:9" x14ac:dyDescent="0.2">
      <c r="A66" s="11">
        <v>64</v>
      </c>
      <c r="B66" s="10" t="s">
        <v>1173</v>
      </c>
      <c r="C66" s="11" t="s">
        <v>1174</v>
      </c>
      <c r="D66" s="11" t="s">
        <v>78</v>
      </c>
      <c r="E66" s="12" t="s">
        <v>110</v>
      </c>
      <c r="F66" s="11"/>
      <c r="G66" s="11"/>
      <c r="H66" s="11"/>
      <c r="I66" s="11"/>
    </row>
    <row r="67" spans="1:9" x14ac:dyDescent="0.2">
      <c r="A67" s="11">
        <v>65</v>
      </c>
      <c r="B67" s="10" t="s">
        <v>1173</v>
      </c>
      <c r="C67" s="11" t="s">
        <v>1175</v>
      </c>
      <c r="D67" s="11" t="s">
        <v>78</v>
      </c>
      <c r="E67" s="12" t="s">
        <v>110</v>
      </c>
      <c r="F67" s="11"/>
      <c r="G67" s="11"/>
      <c r="H67" s="11"/>
      <c r="I67" s="11"/>
    </row>
    <row r="68" spans="1:9" x14ac:dyDescent="0.2">
      <c r="A68" s="11">
        <v>66</v>
      </c>
      <c r="B68" s="10" t="s">
        <v>1173</v>
      </c>
      <c r="C68" s="11" t="s">
        <v>1176</v>
      </c>
      <c r="D68" s="11" t="s">
        <v>78</v>
      </c>
      <c r="E68" s="12" t="s">
        <v>110</v>
      </c>
      <c r="F68" s="11"/>
      <c r="G68" s="11"/>
      <c r="H68" s="11"/>
      <c r="I68" s="11"/>
    </row>
    <row r="69" spans="1:9" x14ac:dyDescent="0.2">
      <c r="A69" s="11">
        <v>67</v>
      </c>
      <c r="B69" s="10" t="s">
        <v>1173</v>
      </c>
      <c r="C69" s="11" t="s">
        <v>1177</v>
      </c>
      <c r="D69" s="11" t="s">
        <v>78</v>
      </c>
      <c r="E69" s="12" t="s">
        <v>110</v>
      </c>
      <c r="F69" s="11"/>
      <c r="G69" s="11"/>
      <c r="H69" s="11"/>
      <c r="I69" s="11"/>
    </row>
    <row r="70" spans="1:9" x14ac:dyDescent="0.2">
      <c r="A70" s="11">
        <v>68</v>
      </c>
      <c r="B70" s="10" t="s">
        <v>1173</v>
      </c>
      <c r="C70" s="11" t="s">
        <v>1178</v>
      </c>
      <c r="D70" s="11" t="s">
        <v>69</v>
      </c>
      <c r="E70" s="12" t="s">
        <v>110</v>
      </c>
      <c r="F70" s="11"/>
      <c r="G70" s="11"/>
      <c r="H70" s="11"/>
      <c r="I70" s="11"/>
    </row>
    <row r="71" spans="1:9" x14ac:dyDescent="0.2">
      <c r="A71" s="11">
        <v>69</v>
      </c>
      <c r="B71" s="10" t="s">
        <v>1173</v>
      </c>
      <c r="C71" s="11" t="s">
        <v>1179</v>
      </c>
      <c r="D71" s="11" t="s">
        <v>78</v>
      </c>
      <c r="E71" s="13" t="s">
        <v>120</v>
      </c>
      <c r="F71" s="11"/>
      <c r="G71" s="11"/>
      <c r="H71" s="11"/>
      <c r="I71" s="11"/>
    </row>
    <row r="72" spans="1:9" x14ac:dyDescent="0.2">
      <c r="A72" s="11">
        <v>70</v>
      </c>
      <c r="B72" s="10" t="s">
        <v>1180</v>
      </c>
      <c r="C72" s="11" t="s">
        <v>1181</v>
      </c>
      <c r="D72" s="11" t="s">
        <v>1151</v>
      </c>
      <c r="E72" s="12" t="s">
        <v>110</v>
      </c>
      <c r="F72" s="11"/>
      <c r="G72" s="11"/>
      <c r="H72" s="11"/>
      <c r="I72" s="11"/>
    </row>
    <row r="73" spans="1:9" x14ac:dyDescent="0.2">
      <c r="A73" s="11">
        <v>71</v>
      </c>
      <c r="B73" s="10" t="s">
        <v>1180</v>
      </c>
      <c r="C73" s="11" t="s">
        <v>1182</v>
      </c>
      <c r="D73" s="11" t="s">
        <v>1151</v>
      </c>
      <c r="E73" s="12" t="s">
        <v>110</v>
      </c>
      <c r="F73" s="11"/>
      <c r="G73" s="11"/>
      <c r="H73" s="11"/>
      <c r="I73" s="11"/>
    </row>
    <row r="74" spans="1:9" x14ac:dyDescent="0.2">
      <c r="A74" s="11">
        <v>72</v>
      </c>
      <c r="B74" s="10" t="s">
        <v>1180</v>
      </c>
      <c r="C74" s="11" t="s">
        <v>1183</v>
      </c>
      <c r="D74" s="11" t="s">
        <v>80</v>
      </c>
      <c r="E74" s="12" t="s">
        <v>110</v>
      </c>
      <c r="F74" s="11"/>
      <c r="G74" s="11"/>
      <c r="H74" s="11"/>
      <c r="I74" s="11"/>
    </row>
    <row r="75" spans="1:9" x14ac:dyDescent="0.2">
      <c r="A75" s="11">
        <v>73</v>
      </c>
      <c r="B75" s="10" t="s">
        <v>1180</v>
      </c>
      <c r="C75" s="11" t="s">
        <v>1184</v>
      </c>
      <c r="D75" s="11" t="s">
        <v>76</v>
      </c>
      <c r="E75" s="13" t="s">
        <v>120</v>
      </c>
      <c r="F75" s="11"/>
      <c r="G75" s="11"/>
      <c r="H75" s="11"/>
      <c r="I75" s="11"/>
    </row>
    <row r="76" spans="1:9" x14ac:dyDescent="0.2">
      <c r="A76" s="11">
        <v>74</v>
      </c>
      <c r="B76" s="10" t="s">
        <v>1180</v>
      </c>
      <c r="C76" s="11" t="s">
        <v>1185</v>
      </c>
      <c r="D76" s="11" t="s">
        <v>69</v>
      </c>
      <c r="E76" s="13" t="s">
        <v>120</v>
      </c>
      <c r="F76" s="11"/>
      <c r="G76" s="11"/>
      <c r="H76" s="11"/>
      <c r="I76" s="11"/>
    </row>
    <row r="77" spans="1:9" x14ac:dyDescent="0.2">
      <c r="A77" s="11">
        <v>75</v>
      </c>
      <c r="B77" s="10" t="s">
        <v>1180</v>
      </c>
      <c r="C77" s="11" t="s">
        <v>1186</v>
      </c>
      <c r="D77" s="11" t="s">
        <v>77</v>
      </c>
      <c r="E77" s="13" t="s">
        <v>120</v>
      </c>
      <c r="F77" s="11"/>
      <c r="G77" s="11"/>
      <c r="H77" s="11"/>
      <c r="I77" s="11"/>
    </row>
  </sheetData>
  <autoFilter ref="A2:I77" xr:uid="{00000000-0009-0000-0000-000010000000}"/>
  <mergeCells count="1">
    <mergeCell ref="A1:I1"/>
  </mergeCells>
  <conditionalFormatting sqref="F3:F77">
    <cfRule type="cellIs" dxfId="2" priority="2" operator="equal">
      <formula>"Eklendi"</formula>
    </cfRule>
    <cfRule type="cellIs" dxfId="1" priority="3" operator="equal">
      <formula>"Eklenecek"</formula>
    </cfRule>
    <cfRule type="cellIs" dxfId="0" priority="4" operator="equal">
      <formula>"Yok"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000-000000000000}">
          <x14:formula1>
            <xm:f>Listeler!$G$2:$G$5</xm:f>
          </x14:formula1>
          <x14:formula2>
            <xm:f>0</xm:f>
          </x14:formula2>
          <xm:sqref>F3:F87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73F1-E890-9640-A56D-E52A1390E765}">
  <dimension ref="A1:B27"/>
  <sheetViews>
    <sheetView workbookViewId="0">
      <selection activeCell="B13" sqref="B13"/>
    </sheetView>
  </sheetViews>
  <sheetFormatPr baseColWidth="10" defaultRowHeight="15" x14ac:dyDescent="0.2"/>
  <cols>
    <col min="1" max="1" width="32.33203125" customWidth="1"/>
    <col min="2" max="2" width="32.6640625" customWidth="1"/>
    <col min="3" max="3" width="38.6640625" customWidth="1"/>
  </cols>
  <sheetData>
    <row r="1" spans="1:2" ht="16" thickBot="1" x14ac:dyDescent="0.25">
      <c r="A1" s="19" t="s">
        <v>1239</v>
      </c>
      <c r="B1" s="22" t="s">
        <v>1253</v>
      </c>
    </row>
    <row r="2" spans="1:2" ht="18" thickBot="1" x14ac:dyDescent="0.25">
      <c r="A2" s="20" t="s">
        <v>1240</v>
      </c>
      <c r="B2" s="23" t="s">
        <v>1254</v>
      </c>
    </row>
    <row r="3" spans="1:2" ht="35" thickBot="1" x14ac:dyDescent="0.25">
      <c r="A3" s="21" t="s">
        <v>1241</v>
      </c>
      <c r="B3" s="23" t="s">
        <v>1255</v>
      </c>
    </row>
    <row r="4" spans="1:2" ht="18" thickBot="1" x14ac:dyDescent="0.25">
      <c r="A4" s="21" t="s">
        <v>1242</v>
      </c>
      <c r="B4" s="23" t="s">
        <v>1256</v>
      </c>
    </row>
    <row r="5" spans="1:2" ht="18" thickBot="1" x14ac:dyDescent="0.25">
      <c r="A5" s="21" t="s">
        <v>1243</v>
      </c>
      <c r="B5" s="23" t="s">
        <v>1257</v>
      </c>
    </row>
    <row r="6" spans="1:2" ht="18" thickBot="1" x14ac:dyDescent="0.25">
      <c r="A6" s="21" t="s">
        <v>1244</v>
      </c>
      <c r="B6" s="23" t="s">
        <v>1258</v>
      </c>
    </row>
    <row r="7" spans="1:2" ht="35" thickBot="1" x14ac:dyDescent="0.25">
      <c r="A7" s="21" t="s">
        <v>1235</v>
      </c>
      <c r="B7" s="23" t="s">
        <v>1259</v>
      </c>
    </row>
    <row r="8" spans="1:2" ht="18" thickBot="1" x14ac:dyDescent="0.25">
      <c r="A8" s="21" t="s">
        <v>1245</v>
      </c>
      <c r="B8" s="23" t="s">
        <v>1260</v>
      </c>
    </row>
    <row r="9" spans="1:2" ht="18" thickBot="1" x14ac:dyDescent="0.25">
      <c r="A9" s="21" t="s">
        <v>1246</v>
      </c>
      <c r="B9" s="23" t="s">
        <v>1261</v>
      </c>
    </row>
    <row r="10" spans="1:2" ht="18" thickBot="1" x14ac:dyDescent="0.25">
      <c r="A10" s="21" t="s">
        <v>1209</v>
      </c>
      <c r="B10" s="23" t="s">
        <v>1262</v>
      </c>
    </row>
    <row r="11" spans="1:2" ht="18" thickBot="1" x14ac:dyDescent="0.25">
      <c r="A11" s="21" t="s">
        <v>1247</v>
      </c>
      <c r="B11" s="23" t="s">
        <v>1263</v>
      </c>
    </row>
    <row r="12" spans="1:2" ht="18" thickBot="1" x14ac:dyDescent="0.25">
      <c r="A12" s="21" t="s">
        <v>1248</v>
      </c>
      <c r="B12" s="23" t="s">
        <v>1264</v>
      </c>
    </row>
    <row r="13" spans="1:2" ht="18" thickBot="1" x14ac:dyDescent="0.25">
      <c r="A13" s="21" t="s">
        <v>1249</v>
      </c>
      <c r="B13" s="23" t="s">
        <v>1265</v>
      </c>
    </row>
    <row r="14" spans="1:2" ht="18" thickBot="1" x14ac:dyDescent="0.25">
      <c r="A14" s="21" t="s">
        <v>1250</v>
      </c>
      <c r="B14" s="23" t="s">
        <v>1009</v>
      </c>
    </row>
    <row r="15" spans="1:2" ht="18" thickBot="1" x14ac:dyDescent="0.25">
      <c r="A15" s="21" t="s">
        <v>1252</v>
      </c>
      <c r="B15" s="23" t="s">
        <v>1266</v>
      </c>
    </row>
    <row r="16" spans="1:2" ht="18" thickBot="1" x14ac:dyDescent="0.25">
      <c r="A16" s="21" t="s">
        <v>1251</v>
      </c>
      <c r="B16" s="23" t="s">
        <v>1267</v>
      </c>
    </row>
    <row r="17" spans="2:2" ht="17" x14ac:dyDescent="0.2">
      <c r="B17" s="23" t="s">
        <v>1268</v>
      </c>
    </row>
    <row r="18" spans="2:2" ht="17" x14ac:dyDescent="0.2">
      <c r="B18" s="23" t="s">
        <v>1269</v>
      </c>
    </row>
    <row r="19" spans="2:2" ht="17" x14ac:dyDescent="0.2">
      <c r="B19" s="23" t="s">
        <v>1270</v>
      </c>
    </row>
    <row r="20" spans="2:2" ht="17" x14ac:dyDescent="0.2">
      <c r="B20" s="23" t="s">
        <v>1271</v>
      </c>
    </row>
    <row r="21" spans="2:2" ht="17" x14ac:dyDescent="0.2">
      <c r="B21" s="23" t="s">
        <v>1272</v>
      </c>
    </row>
    <row r="22" spans="2:2" ht="17" x14ac:dyDescent="0.2">
      <c r="B22" s="23" t="s">
        <v>1051</v>
      </c>
    </row>
    <row r="23" spans="2:2" ht="17" x14ac:dyDescent="0.2">
      <c r="B23" s="23" t="s">
        <v>1273</v>
      </c>
    </row>
    <row r="24" spans="2:2" ht="17" x14ac:dyDescent="0.2">
      <c r="B24" s="23" t="s">
        <v>1274</v>
      </c>
    </row>
    <row r="25" spans="2:2" ht="17" x14ac:dyDescent="0.2">
      <c r="B25" s="23" t="s">
        <v>1275</v>
      </c>
    </row>
    <row r="26" spans="2:2" ht="17" x14ac:dyDescent="0.2">
      <c r="B26" s="23" t="s">
        <v>1276</v>
      </c>
    </row>
    <row r="27" spans="2:2" ht="17" x14ac:dyDescent="0.2">
      <c r="B27" s="23" t="s">
        <v>1277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8"/>
  <sheetViews>
    <sheetView zoomScaleNormal="100" workbookViewId="0"/>
  </sheetViews>
  <sheetFormatPr baseColWidth="10" defaultColWidth="8.6640625" defaultRowHeight="15" x14ac:dyDescent="0.2"/>
  <cols>
    <col min="1" max="9" width="40" customWidth="1"/>
  </cols>
  <sheetData>
    <row r="1" spans="1:9" x14ac:dyDescent="0.2">
      <c r="A1" s="17" t="s">
        <v>1187</v>
      </c>
      <c r="B1" s="17" t="s">
        <v>1188</v>
      </c>
      <c r="C1" s="17" t="s">
        <v>1189</v>
      </c>
      <c r="D1" s="17" t="s">
        <v>1190</v>
      </c>
      <c r="E1" s="17" t="s">
        <v>1191</v>
      </c>
      <c r="F1" s="17" t="s">
        <v>1192</v>
      </c>
      <c r="G1" s="17" t="s">
        <v>1193</v>
      </c>
      <c r="H1" s="17" t="s">
        <v>1194</v>
      </c>
      <c r="I1" s="17" t="s">
        <v>1195</v>
      </c>
    </row>
    <row r="2" spans="1:9" x14ac:dyDescent="0.2">
      <c r="A2" s="18" t="s">
        <v>1196</v>
      </c>
      <c r="B2" s="18" t="s">
        <v>1197</v>
      </c>
      <c r="C2" s="18" t="s">
        <v>1198</v>
      </c>
      <c r="D2" s="18" t="s">
        <v>1199</v>
      </c>
      <c r="E2" s="18" t="s">
        <v>61</v>
      </c>
      <c r="F2" s="18" t="s">
        <v>1200</v>
      </c>
      <c r="G2" s="18" t="s">
        <v>1201</v>
      </c>
      <c r="H2" s="18" t="s">
        <v>1198</v>
      </c>
      <c r="I2" s="18" t="s">
        <v>1200</v>
      </c>
    </row>
    <row r="3" spans="1:9" x14ac:dyDescent="0.2">
      <c r="A3" s="18" t="s">
        <v>1202</v>
      </c>
      <c r="B3" s="18" t="s">
        <v>1203</v>
      </c>
      <c r="C3" s="18" t="s">
        <v>1204</v>
      </c>
      <c r="D3" s="18" t="s">
        <v>1205</v>
      </c>
      <c r="E3" s="18" t="s">
        <v>1206</v>
      </c>
      <c r="F3" s="18" t="s">
        <v>62</v>
      </c>
      <c r="G3" s="18" t="s">
        <v>1207</v>
      </c>
      <c r="H3" s="18" t="s">
        <v>1204</v>
      </c>
      <c r="I3" s="18" t="s">
        <v>1208</v>
      </c>
    </row>
    <row r="4" spans="1:9" x14ac:dyDescent="0.2">
      <c r="A4" s="18" t="s">
        <v>1209</v>
      </c>
      <c r="B4" s="18" t="s">
        <v>1210</v>
      </c>
      <c r="C4" s="18" t="s">
        <v>1211</v>
      </c>
      <c r="D4" s="18" t="s">
        <v>1212</v>
      </c>
      <c r="E4" s="18" t="s">
        <v>63</v>
      </c>
      <c r="F4" s="18" t="s">
        <v>1208</v>
      </c>
      <c r="G4" s="18" t="s">
        <v>1208</v>
      </c>
      <c r="H4" s="18" t="s">
        <v>62</v>
      </c>
      <c r="I4" s="18" t="s">
        <v>1213</v>
      </c>
    </row>
    <row r="5" spans="1:9" x14ac:dyDescent="0.2">
      <c r="A5" s="18" t="s">
        <v>1214</v>
      </c>
      <c r="B5" s="18" t="s">
        <v>1215</v>
      </c>
      <c r="C5" s="18" t="s">
        <v>63</v>
      </c>
      <c r="D5" s="18" t="s">
        <v>1216</v>
      </c>
      <c r="E5" s="18" t="s">
        <v>64</v>
      </c>
      <c r="F5" s="18" t="s">
        <v>63</v>
      </c>
      <c r="G5" s="18" t="s">
        <v>64</v>
      </c>
      <c r="H5" s="18" t="s">
        <v>1217</v>
      </c>
      <c r="I5" s="18" t="s">
        <v>63</v>
      </c>
    </row>
    <row r="6" spans="1:9" x14ac:dyDescent="0.2">
      <c r="A6" s="18" t="s">
        <v>1218</v>
      </c>
      <c r="B6" s="18" t="s">
        <v>1219</v>
      </c>
      <c r="D6" s="18" t="s">
        <v>1220</v>
      </c>
      <c r="H6" s="18" t="s">
        <v>63</v>
      </c>
    </row>
    <row r="7" spans="1:9" x14ac:dyDescent="0.2">
      <c r="A7" s="18" t="s">
        <v>1221</v>
      </c>
      <c r="B7" s="18" t="s">
        <v>1222</v>
      </c>
      <c r="D7" s="18" t="s">
        <v>1223</v>
      </c>
    </row>
    <row r="8" spans="1:9" x14ac:dyDescent="0.2">
      <c r="A8" s="18" t="s">
        <v>1224</v>
      </c>
      <c r="B8" s="18" t="s">
        <v>1225</v>
      </c>
      <c r="D8" s="18" t="s">
        <v>1226</v>
      </c>
    </row>
    <row r="9" spans="1:9" x14ac:dyDescent="0.2">
      <c r="A9" s="18" t="s">
        <v>1227</v>
      </c>
      <c r="B9" s="18" t="s">
        <v>63</v>
      </c>
      <c r="D9" s="18" t="s">
        <v>1228</v>
      </c>
    </row>
    <row r="10" spans="1:9" x14ac:dyDescent="0.2">
      <c r="A10" s="18" t="s">
        <v>1229</v>
      </c>
      <c r="D10" s="18" t="s">
        <v>1230</v>
      </c>
    </row>
    <row r="11" spans="1:9" x14ac:dyDescent="0.2">
      <c r="A11" s="18" t="s">
        <v>933</v>
      </c>
      <c r="D11" s="18" t="s">
        <v>1231</v>
      </c>
    </row>
    <row r="12" spans="1:9" x14ac:dyDescent="0.2">
      <c r="A12" s="18" t="s">
        <v>1232</v>
      </c>
      <c r="D12" s="18" t="s">
        <v>1233</v>
      </c>
    </row>
    <row r="13" spans="1:9" x14ac:dyDescent="0.2">
      <c r="A13" s="18" t="s">
        <v>1234</v>
      </c>
    </row>
    <row r="14" spans="1:9" x14ac:dyDescent="0.2">
      <c r="A14" s="18" t="s">
        <v>1235</v>
      </c>
    </row>
    <row r="15" spans="1:9" x14ac:dyDescent="0.2">
      <c r="A15" s="18" t="s">
        <v>1236</v>
      </c>
    </row>
    <row r="16" spans="1:9" x14ac:dyDescent="0.2">
      <c r="A16" s="18" t="s">
        <v>1237</v>
      </c>
    </row>
    <row r="17" spans="1:1" x14ac:dyDescent="0.2">
      <c r="A17" s="18" t="s">
        <v>1238</v>
      </c>
    </row>
    <row r="18" spans="1:1" x14ac:dyDescent="0.2">
      <c r="A18" s="18" t="s">
        <v>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19</vt:i4>
      </vt:variant>
    </vt:vector>
  </HeadingPairs>
  <TitlesOfParts>
    <vt:vector size="19" baseType="lpstr">
      <vt:lpstr>README</vt:lpstr>
      <vt:lpstr>00-Dashboard</vt:lpstr>
      <vt:lpstr>01-Genel-Sirket</vt:lpstr>
      <vt:lpstr>02-İnsan Kaynakları</vt:lpstr>
      <vt:lpstr>03-Bilgi Teknolojileri</vt:lpstr>
      <vt:lpstr>04-Yazılım Geliştirme</vt:lpstr>
      <vt:lpstr>05-Satış</vt:lpstr>
      <vt:lpstr>06-Pazarlama</vt:lpstr>
      <vt:lpstr>07-Sosyal Medya</vt:lpstr>
      <vt:lpstr>08-Muhasebe</vt:lpstr>
      <vt:lpstr>09-Satın Alma</vt:lpstr>
      <vt:lpstr>10-Hukuk</vt:lpstr>
      <vt:lpstr>11-Yönetim</vt:lpstr>
      <vt:lpstr>12-Güvenlik</vt:lpstr>
      <vt:lpstr>13-Temizlik</vt:lpstr>
      <vt:lpstr>14-Entegrasyonlar</vt:lpstr>
      <vt:lpstr>15-Kanıt Belgeleri</vt:lpstr>
      <vt:lpstr>Sayfa1</vt:lpstr>
      <vt:lpstr>Listeler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IŞILAY YÖRÜK</cp:lastModifiedBy>
  <cp:revision>0</cp:revision>
  <dcterms:created xsi:type="dcterms:W3CDTF">2026-07-08T20:32:03Z</dcterms:created>
  <dcterms:modified xsi:type="dcterms:W3CDTF">2026-07-09T15:06:44Z</dcterms:modified>
  <dc:language>en-US</dc:language>
</cp:coreProperties>
</file>